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3635\Downloads\Funds-Breakdown\"/>
    </mc:Choice>
  </mc:AlternateContent>
  <xr:revisionPtr revIDLastSave="0" documentId="8_{D7190033-903B-4D61-9613-1F79A2B95446}" xr6:coauthVersionLast="47" xr6:coauthVersionMax="47" xr10:uidLastSave="{00000000-0000-0000-0000-000000000000}"/>
  <bookViews>
    <workbookView xWindow="-110" yWindow="-110" windowWidth="19420" windowHeight="10300" xr2:uid="{88601E01-238B-4201-9A11-DADD7A5F5682}"/>
  </bookViews>
  <sheets>
    <sheet name="PPFCF" sheetId="1" r:id="rId1"/>
  </sheets>
  <externalReferences>
    <externalReference r:id="rId2"/>
  </externalReferences>
  <definedNames>
    <definedName name="_xlnm._FilterDatabase" localSheetId="0" hidden="1">PPFCF!$B$155:$G$182</definedName>
    <definedName name="JR_PAGE_ANCHOR_0_1">#REF!</definedName>
    <definedName name="JR_PAGE_ANCHOR_0_2">PPFCF!$A$1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1" i="1" l="1"/>
  <c r="G41" i="1"/>
  <c r="F150" i="1"/>
  <c r="G150" i="1"/>
  <c r="C286" i="1"/>
  <c r="C300" i="1"/>
</calcChain>
</file>

<file path=xl/sharedStrings.xml><?xml version="1.0" encoding="utf-8"?>
<sst xmlns="http://schemas.openxmlformats.org/spreadsheetml/2006/main" count="891" uniqueCount="604">
  <si>
    <t>(Nifty 500 TRI)</t>
  </si>
  <si>
    <t>AMFI Tier 1 Benchmark's Riskometer</t>
  </si>
  <si>
    <t>Scheme's Riskometer</t>
  </si>
  <si>
    <t xml:space="preserve">      *   Investors should consult their financial advisers if in doubt about whether the product is suitable for them.</t>
  </si>
  <si>
    <t xml:space="preserve">      -     Scheme shall invest in Indian equities, foreign equities and related instruments and debt securities.</t>
  </si>
  <si>
    <t xml:space="preserve">      -     To generate long-term capital growth from an actively managed portfolio primarily of Equity and Equity related Securities.</t>
  </si>
  <si>
    <t>This Product is suitable for investors who are seeking*</t>
  </si>
  <si>
    <t>Macaulay Duration (years)</t>
  </si>
  <si>
    <t>Debt Quants as on  as on August 31, 2026</t>
  </si>
  <si>
    <t>Tracking Difference 3 year</t>
  </si>
  <si>
    <t>Risk free rate of return (FIMMDA MIBOR)</t>
  </si>
  <si>
    <t>VaR</t>
  </si>
  <si>
    <t>Treynor Ratio</t>
  </si>
  <si>
    <t>Information Ratio</t>
  </si>
  <si>
    <t>Beta</t>
  </si>
  <si>
    <t>Sharpe Ratio</t>
  </si>
  <si>
    <t>Standard Deviation( Benchmark )</t>
  </si>
  <si>
    <t>Standard Deviation</t>
  </si>
  <si>
    <t>Quantitative indicators</t>
  </si>
  <si>
    <t>Nifty 50 (TRI) Returns (Annualised) (%)</t>
  </si>
  <si>
    <t>Nifty 500 (TRI) Returns (Annualised) (%)</t>
  </si>
  <si>
    <t>Returns (Annualised) (%)</t>
  </si>
  <si>
    <t>Market value of Investment</t>
  </si>
  <si>
    <t>Total Amount Invested</t>
  </si>
  <si>
    <t>August 31, 2016 to August 31, 2026 (Last 10 Years)</t>
  </si>
  <si>
    <t>August 31, 2021 to August 31, 2026 (Last 5 Years)</t>
  </si>
  <si>
    <t>August 31, 2023 to August 31, 2026 (Last 3 Years)</t>
  </si>
  <si>
    <t>August 29, 2025 to August 31,2026 (Last 1 Year)</t>
  </si>
  <si>
    <t>Since Inception (24 May, 2013)</t>
  </si>
  <si>
    <t>SIP Investment Performance - Parag Parikh Flexi Cap Fund - Direct Plan</t>
  </si>
  <si>
    <t>SIP Investment Performance - Parag Parikh Flexi Cap Fund - Regular Plan</t>
  </si>
  <si>
    <t xml:space="preserve">Nifty 50 (TRI) </t>
  </si>
  <si>
    <t>Nifty 500 (TRI)</t>
  </si>
  <si>
    <t>PPFCF (Direct Plan)</t>
  </si>
  <si>
    <t>PPFCF</t>
  </si>
  <si>
    <t>Value of Investment of Rs. 10,000/-</t>
  </si>
  <si>
    <t>Index</t>
  </si>
  <si>
    <t>Benchmark</t>
  </si>
  <si>
    <t>Scheme</t>
  </si>
  <si>
    <t>Date</t>
  </si>
  <si>
    <t>Lumpsum Investment Performance (Compounded annual returns)</t>
  </si>
  <si>
    <t>E. Hedging Positions through swaps as on 31-Aug-2026: Nil</t>
  </si>
  <si>
    <t>For the period 01-Aug-2026 to 31-Aug-2026, the following details specified for non-hedging transactions through options which have already been exercised/expired : Nil</t>
  </si>
  <si>
    <t>Total exposure through options as a % of net assets : 0.00%</t>
  </si>
  <si>
    <t>Call</t>
  </si>
  <si>
    <t>Power Grid Corporation of India Limited</t>
  </si>
  <si>
    <t>Maruti Suzuki India Limited</t>
  </si>
  <si>
    <t>Mahindra &amp; Mahindra Limited</t>
  </si>
  <si>
    <t>Dr. Reddy's Laboratories Limited</t>
  </si>
  <si>
    <t>Coal India Limited</t>
  </si>
  <si>
    <t>Cipla Limited</t>
  </si>
  <si>
    <t>Current Option Price ( Rs. Per unit)</t>
  </si>
  <si>
    <t>Option Price when purchased (Rs. Per unit)</t>
  </si>
  <si>
    <t>Number of Contracts</t>
  </si>
  <si>
    <t>Call/Put</t>
  </si>
  <si>
    <t>Underlying</t>
  </si>
  <si>
    <t>D. Other than Hedging Positions through Options as on 31-Aug-2026 :</t>
  </si>
  <si>
    <t>C. Hedging Position through Put Option as on 31-Aug-2026 : Nil</t>
  </si>
  <si>
    <t>Exposure created due to over hedging through futures (quantity of hedging position exceeding the quantity of existing position being hedged) is Nil.</t>
  </si>
  <si>
    <t>Net Profit/Loss value on all contracts combined Rs.</t>
  </si>
  <si>
    <t>Gross Notional Value of contracts where futures were sold Rs.</t>
  </si>
  <si>
    <t>Gross Notional Value of contracts where futures were sold (opening balance) Rs.</t>
  </si>
  <si>
    <t>Gross Notional Value of contracts where futures were bought Rs.</t>
  </si>
  <si>
    <t>Gross Notional Value of contracts where futures were bought (opening balance) Rs.</t>
  </si>
  <si>
    <t>Total Number of contracts where futures were sold</t>
  </si>
  <si>
    <t>Total Number of contracts where futures were sold (opening balance)</t>
  </si>
  <si>
    <t>Total Number of contracts where futures were bought</t>
  </si>
  <si>
    <t>Total Number of contracts where futures were bought (opening balance)</t>
  </si>
  <si>
    <t xml:space="preserve">For the period 01-Aug-2026 to 31-Aug-2026, the following details specified for Other than hedging transactions through futures which have been squared off/expired : </t>
  </si>
  <si>
    <t>B. Other than Hedging Positions through Futures as on 31-Aug-2026 : Nil</t>
  </si>
  <si>
    <t xml:space="preserve">For the period 01-Aug-2026 to 31-Aug-2026, the following details specified for hedging transactions through futures which have been squared off/expired : </t>
  </si>
  <si>
    <t>Total %age of existing assets hedged through futures: (1.90%)</t>
  </si>
  <si>
    <t>Short</t>
  </si>
  <si>
    <t>SEP26</t>
  </si>
  <si>
    <t>UltraTech Cement Limited</t>
  </si>
  <si>
    <t>OCT26</t>
  </si>
  <si>
    <t>Titan Company Limited</t>
  </si>
  <si>
    <t>Tata Consumer Products Limited</t>
  </si>
  <si>
    <t>Tata Steel Limited</t>
  </si>
  <si>
    <t>Sun Pharmaceutical Industries Limited</t>
  </si>
  <si>
    <t>State Bank of India</t>
  </si>
  <si>
    <t>TVS Motor Company Limited</t>
  </si>
  <si>
    <t>Reliance Industries Limited</t>
  </si>
  <si>
    <t>Oil &amp; Natural Gas Corporation Limited</t>
  </si>
  <si>
    <t>Lupin Limited</t>
  </si>
  <si>
    <t>JSW Steel Limited</t>
  </si>
  <si>
    <t>JSW Energy Limited</t>
  </si>
  <si>
    <t>IndusInd Bank Limited</t>
  </si>
  <si>
    <t>IDFC First Bank Limited</t>
  </si>
  <si>
    <t>Hindustan Unilever Limited</t>
  </si>
  <si>
    <t>Hindalco Industries Limited</t>
  </si>
  <si>
    <t>Hindustan Aeronautics Limited</t>
  </si>
  <si>
    <t>Grasim Industries Limited</t>
  </si>
  <si>
    <t>Eicher Motors Limited</t>
  </si>
  <si>
    <t>Divi's Laboratories Limited</t>
  </si>
  <si>
    <t>Canara Bank</t>
  </si>
  <si>
    <t>Bharat Electronics Limited</t>
  </si>
  <si>
    <t>Bajaj Finserv Limited</t>
  </si>
  <si>
    <t>Bajaj Finance Limited</t>
  </si>
  <si>
    <t>Ashok Leyland Limited</t>
  </si>
  <si>
    <t>Margin maintained in Rs. Lakhs</t>
  </si>
  <si>
    <t>Current price of the contract
( Rs. Per unit)</t>
  </si>
  <si>
    <t>Futures Price when purchased 
( Rs. Per unit)</t>
  </si>
  <si>
    <t>Long / Short</t>
  </si>
  <si>
    <t>Series</t>
  </si>
  <si>
    <t>14.  Disclosure for investments in derivative instruments</t>
  </si>
  <si>
    <t>13.  Deviation from the valuation prices given by valuation agencies: Nil</t>
  </si>
  <si>
    <t>12.  Repo transactions in corporate debt securities during the period ending Aug 2026 is Nil.</t>
  </si>
  <si>
    <t>11.  Portfolio Turnover Ratio (Excluding Equity Arbitrage): 16.84</t>
  </si>
  <si>
    <t>10.  Portfolio Turnover Ratio (Including Equity Arbitrage): 43</t>
  </si>
  <si>
    <t>9.    Total Brokerage paid for Buying/ Selling of Investment for Aug 2026 is Rs.13645379.87</t>
  </si>
  <si>
    <t>8.    Total Commission paid in the month of Aug 2026: Rs. 208126652.55</t>
  </si>
  <si>
    <t>7.    Total investment in Foreign Securities / ADRs / GDRs as on 31 Aug 2026: Rs. 163002384372.4</t>
  </si>
  <si>
    <t xml:space="preserve">       (Gross exposure means sum of all long and short positions in derivatives)</t>
  </si>
  <si>
    <t>6.    Total outstanding exposure in derivative instruments as on 31 Aug 2026: Rs. (27847389270)</t>
  </si>
  <si>
    <t>5.   Total Bonus declared during the period ended Aug 2026  - Nil</t>
  </si>
  <si>
    <t>4.   Total IDCW* (Net) declared during the period ended Aug 2026  - Nil</t>
  </si>
  <si>
    <t>Parag Parikh Flexi Cap Fund - Regular Plan - IDCW</t>
  </si>
  <si>
    <t>Parag Parikh Flexi Cap Fund - Direct Plan - IDCW</t>
  </si>
  <si>
    <t>Parag Parikh Flexi Cap Fund- Regular Plan Growth</t>
  </si>
  <si>
    <t>Parag Parikh Flexi Cap Fund- Direct Plan Growth</t>
  </si>
  <si>
    <t>Plan / Option</t>
  </si>
  <si>
    <t>3.   Plan wise per unit Net Asset Value are as follows:</t>
  </si>
  <si>
    <t>2.   Total value and percentage of Illiquid Equity Shares: Nil</t>
  </si>
  <si>
    <t>NIL</t>
  </si>
  <si>
    <t>(Rs. in Lakhs)</t>
  </si>
  <si>
    <t>(as % to NAV)</t>
  </si>
  <si>
    <t>Total amount due (including principal and interest)</t>
  </si>
  <si>
    <t>Net receivable/ market value</t>
  </si>
  <si>
    <t>ISIN Code</t>
  </si>
  <si>
    <t>Name of security</t>
  </si>
  <si>
    <t>1.  Total value provided for securities classified as below investment grade or default and its percentage to NAV - NIL</t>
  </si>
  <si>
    <t>Notes:</t>
  </si>
  <si>
    <t>## The Name of the Industry is in accordance with Industry Classification for Foreign Securities is as per NASDAQ.</t>
  </si>
  <si>
    <t>^ The Name of the Industry is in accordance with Industry Classification as recommended by AMFI.</t>
  </si>
  <si>
    <t>Notes &amp; Symbols :-</t>
  </si>
  <si>
    <t>^ Pursuant to AMFI circular no. 135/BP/91/2020-21, Yield to Call (YTC) for AT-1 bonds and Tier-2 bonds as on August 31, 2026</t>
  </si>
  <si>
    <t>~ Yield to Maturity (YTM) as on August 31, 2026</t>
  </si>
  <si>
    <t xml:space="preserve">$  Less Than 0.01% of Net Asset Value </t>
  </si>
  <si>
    <t># Traded</t>
  </si>
  <si>
    <t>Total</t>
  </si>
  <si>
    <t>Sub Total</t>
  </si>
  <si>
    <t>$0.00%</t>
  </si>
  <si>
    <t>Mahindra &amp; Mahindra Limited 3600 Call September 2026 Option</t>
  </si>
  <si>
    <t>EP29SP263600C</t>
  </si>
  <si>
    <t>Maruti Suzuki India Limited 14200 Call September 2026 Option</t>
  </si>
  <si>
    <t>EY29SP2614200C</t>
  </si>
  <si>
    <t>Maruti Suzuki India Limited 14500 Call September 2026 Option</t>
  </si>
  <si>
    <t>EY29SP2614500C</t>
  </si>
  <si>
    <t>Coal India Limited 425 Call September 2026 Option</t>
  </si>
  <si>
    <t>BV29SP26425C</t>
  </si>
  <si>
    <t>Power Grid Corporation of India Limited 285 Call September 2026 Option</t>
  </si>
  <si>
    <t>FN29SP26285C</t>
  </si>
  <si>
    <t>Cipla Limited 1500 Call September 2026 Option</t>
  </si>
  <si>
    <t>BR29SP261500C</t>
  </si>
  <si>
    <t>Dr. Reddy's Laboratories Limited 1260 Call September 2026 Option</t>
  </si>
  <si>
    <t>CE29SP261260C</t>
  </si>
  <si>
    <t>Cipla Limited 1480 Call September 2026 Option</t>
  </si>
  <si>
    <t>BR29SP261480C</t>
  </si>
  <si>
    <t>Dr. Reddy's Laboratories Limited 1240 Call September 2026 Option</t>
  </si>
  <si>
    <t>CE29SP261240C</t>
  </si>
  <si>
    <t>Cipla Limited 1520 Call September 2026 Option</t>
  </si>
  <si>
    <t>BR29SP261520C</t>
  </si>
  <si>
    <t>Coal India Limited 430 Call September 2026 Option</t>
  </si>
  <si>
    <t>BV29SP26430C</t>
  </si>
  <si>
    <t>Power Grid Corporation of India Limited 290 Call September 2026 Option</t>
  </si>
  <si>
    <t>FN29SP26290C</t>
  </si>
  <si>
    <t>Index / Stock Options</t>
  </si>
  <si>
    <t>(Short)</t>
  </si>
  <si>
    <t>Tata Consumer Products Limited September 2026 Future</t>
  </si>
  <si>
    <t>BAFLSEP26</t>
  </si>
  <si>
    <t>Lupin Limited September 2026 Future</t>
  </si>
  <si>
    <t>RINDSEP26</t>
  </si>
  <si>
    <t>JSW Energy Limited September 2026 Future</t>
  </si>
  <si>
    <t>SPILSEP26</t>
  </si>
  <si>
    <t>JSW Steel Limited September 2026 Future</t>
  </si>
  <si>
    <t>HALTSEP26</t>
  </si>
  <si>
    <t>UltraTech Cement Limited October 2026 Future</t>
  </si>
  <si>
    <t>CANBSEP26</t>
  </si>
  <si>
    <t>Bajaj Finserv Limited September 2026 Future</t>
  </si>
  <si>
    <t>SBAISEP26</t>
  </si>
  <si>
    <t>Ashok Leyland Limited September 2026 Future</t>
  </si>
  <si>
    <t>DIVISEP26</t>
  </si>
  <si>
    <t>IDFC First Bank Limited September 2026 Future</t>
  </si>
  <si>
    <t>ULCCSEP26</t>
  </si>
  <si>
    <t>IndusInd Bank Limited September 2026 Future</t>
  </si>
  <si>
    <t>TWATOCT26</t>
  </si>
  <si>
    <t>Eicher Motors Limited September 2026 Future</t>
  </si>
  <si>
    <t>HINISEP26</t>
  </si>
  <si>
    <t>TVS Motor Company Limited September 2026 Future</t>
  </si>
  <si>
    <t>ONGCSEP26</t>
  </si>
  <si>
    <t>Hindustan Unilever Limited September 2026 Future</t>
  </si>
  <si>
    <t>TISCSEP26</t>
  </si>
  <si>
    <t>Bharat Electronics Limited September 2026 Future</t>
  </si>
  <si>
    <t>HLELSEP26</t>
  </si>
  <si>
    <t>Titan Company Limited September 2026 Future</t>
  </si>
  <si>
    <t>BHELSEP26</t>
  </si>
  <si>
    <t>Grasim Industries Limited September 2026 Future</t>
  </si>
  <si>
    <t>TWATSEP26</t>
  </si>
  <si>
    <t>Oil &amp; Natural Gas Corporation Limited September 2026 Future</t>
  </si>
  <si>
    <t>GRASSEP26</t>
  </si>
  <si>
    <t>Tata Steel Limited September 2026 Future</t>
  </si>
  <si>
    <t>IIBLSEP26</t>
  </si>
  <si>
    <t>Hindalco Industries Limited September 2026 Future</t>
  </si>
  <si>
    <t>EIMLSEP26</t>
  </si>
  <si>
    <t>Titan Company Limited October 2026 Future</t>
  </si>
  <si>
    <t>SAELSEP26</t>
  </si>
  <si>
    <t>UltraTech Cement Limited September 2026 Future</t>
  </si>
  <si>
    <t>BFSLSEP26</t>
  </si>
  <si>
    <t>State Bank of India September 2026 Future</t>
  </si>
  <si>
    <t>ASHLSEP26</t>
  </si>
  <si>
    <t>Divi's Laboratories Limited September 2026 Future</t>
  </si>
  <si>
    <t>IDBKSEP26</t>
  </si>
  <si>
    <t>Canara Bank September 2026 Future</t>
  </si>
  <si>
    <t>JVSLSEP26</t>
  </si>
  <si>
    <t>Hindustan Aeronautics Limited September 2026 Future</t>
  </si>
  <si>
    <t>ULCCOCT26</t>
  </si>
  <si>
    <t>Sun Pharmaceutical Industries Limited September 2026 Future</t>
  </si>
  <si>
    <t>TTEASEP26</t>
  </si>
  <si>
    <t>Reliance Industries Limited September 2026 Future</t>
  </si>
  <si>
    <t>LUPLSEP26</t>
  </si>
  <si>
    <t>Bajaj Finance Limited September 2026 Future</t>
  </si>
  <si>
    <t>JSWESEP26</t>
  </si>
  <si>
    <t>Index / Stock Futures</t>
  </si>
  <si>
    <t>Notes &amp; Symbols</t>
  </si>
  <si>
    <t>% to AUM</t>
  </si>
  <si>
    <t>Market value 
(Rs. in Lakhs)</t>
  </si>
  <si>
    <t>Quantity</t>
  </si>
  <si>
    <t>Long / (Short)</t>
  </si>
  <si>
    <t>Name of the Instrument</t>
  </si>
  <si>
    <t>Derivatives</t>
  </si>
  <si>
    <t>GRAND TOTAL</t>
  </si>
  <si>
    <t>Net Receivables / (Payables)</t>
  </si>
  <si>
    <t xml:space="preserve"> </t>
  </si>
  <si>
    <t>TRP_010926</t>
  </si>
  <si>
    <t>Reverse Repo / TREPS</t>
  </si>
  <si>
    <t>INF879O01068</t>
  </si>
  <si>
    <t>Parag Parikh Liquid Fund- Direct Plan- Growth</t>
  </si>
  <si>
    <t>143269</t>
  </si>
  <si>
    <t>Mutual Fund Units</t>
  </si>
  <si>
    <t>Others</t>
  </si>
  <si>
    <t>Sovereign</t>
  </si>
  <si>
    <t>IN002026Z136</t>
  </si>
  <si>
    <t>364 Days Tbill (MD 01/07/2027)</t>
  </si>
  <si>
    <t>TBIL2676</t>
  </si>
  <si>
    <t>IN002025Z419</t>
  </si>
  <si>
    <t>364 Days Tbill (MD 15/01/2027)</t>
  </si>
  <si>
    <t>TBIL2611</t>
  </si>
  <si>
    <t>IN002025Z294</t>
  </si>
  <si>
    <t>364 Days Tbill (MD 15/10/2026)</t>
  </si>
  <si>
    <t>TBIL2576</t>
  </si>
  <si>
    <t>Treasury Bill</t>
  </si>
  <si>
    <t>CRISIL A1+</t>
  </si>
  <si>
    <t>INE763G14J31</t>
  </si>
  <si>
    <t>ICICI Securities Limited (28/09/2026)</t>
  </si>
  <si>
    <t>ICBR700</t>
  </si>
  <si>
    <t>INE134E14AZ1</t>
  </si>
  <si>
    <t>Power Finance Corporation Limited (18/11/2026)</t>
  </si>
  <si>
    <t>POWF565</t>
  </si>
  <si>
    <t>ICRA A1+</t>
  </si>
  <si>
    <t>INE296A14D13</t>
  </si>
  <si>
    <t>Bajaj Finance Limited (04/11/2026)</t>
  </si>
  <si>
    <t>BAFL1012</t>
  </si>
  <si>
    <t>INE660A14ZE5</t>
  </si>
  <si>
    <t>Sundaram Finance Limited (17/08/2027)</t>
  </si>
  <si>
    <t>SUFI787</t>
  </si>
  <si>
    <t>INE733E14CD3</t>
  </si>
  <si>
    <t>NTPC Limited (23/09/2026)</t>
  </si>
  <si>
    <t>NTPC267</t>
  </si>
  <si>
    <t>INE514E14TP5</t>
  </si>
  <si>
    <t>Export Import Bank of India (22/09/2026)</t>
  </si>
  <si>
    <t>EXIM831</t>
  </si>
  <si>
    <t>INE094A14KD1</t>
  </si>
  <si>
    <t>Hindustan Petroleum Corporation Limited (17/09/2026)</t>
  </si>
  <si>
    <t>HPEC319</t>
  </si>
  <si>
    <t>INE296A14I67</t>
  </si>
  <si>
    <t>Bajaj Finance Limited (26/10/2026)</t>
  </si>
  <si>
    <t>BAFL1062</t>
  </si>
  <si>
    <t>INE020B14706</t>
  </si>
  <si>
    <t>REC Limited (21/09/2026)</t>
  </si>
  <si>
    <t>RECL486</t>
  </si>
  <si>
    <t>INE094A14KC3</t>
  </si>
  <si>
    <t>Hindustan Petroleum Corporation Limited (15/09/2026)</t>
  </si>
  <si>
    <t>HPEC318</t>
  </si>
  <si>
    <t>INE514E14TQ3</t>
  </si>
  <si>
    <t>Export Import Bank of India (14/12/2026)</t>
  </si>
  <si>
    <t>EXIM832</t>
  </si>
  <si>
    <t>INE029A14BV8</t>
  </si>
  <si>
    <t>Bharat Petroleum Corporation Limited (24/09/2026)</t>
  </si>
  <si>
    <t>BPCL134</t>
  </si>
  <si>
    <t>Commercial Paper</t>
  </si>
  <si>
    <t>IND A1+</t>
  </si>
  <si>
    <t>INE028A16MQ2</t>
  </si>
  <si>
    <t>Bank of Baroda (07/12/2026) #</t>
  </si>
  <si>
    <t>BKBA595</t>
  </si>
  <si>
    <t>INE028A16KK9</t>
  </si>
  <si>
    <t>Bank of Baroda (25/11/2026) #</t>
  </si>
  <si>
    <t>BKBA548</t>
  </si>
  <si>
    <t>CARE A1+</t>
  </si>
  <si>
    <t>INE040A16JQ3</t>
  </si>
  <si>
    <t>HDFC Bank Limited (16/09/2026)</t>
  </si>
  <si>
    <t>HDFB1063</t>
  </si>
  <si>
    <t>INE556F16CE8</t>
  </si>
  <si>
    <t>Small Industries Dev Bank of India (11/06/2027)</t>
  </si>
  <si>
    <t>SIDB671</t>
  </si>
  <si>
    <t>INE160A16UE2</t>
  </si>
  <si>
    <t>Punjab National Bank (05/02/2027) #</t>
  </si>
  <si>
    <t>PUBA1144</t>
  </si>
  <si>
    <t>INE238AD6BP3</t>
  </si>
  <si>
    <t>Axis Bank Limited (27/11/2026) #</t>
  </si>
  <si>
    <t>UTIB1381</t>
  </si>
  <si>
    <t>INE028A16KC6</t>
  </si>
  <si>
    <t>Bank of Baroda (16/09/2026)</t>
  </si>
  <si>
    <t>BKBA537</t>
  </si>
  <si>
    <t>INE028A16LH3</t>
  </si>
  <si>
    <t>Bank of Baroda (05/02/2027)</t>
  </si>
  <si>
    <t>BKBA568</t>
  </si>
  <si>
    <t>INE028A16LF7</t>
  </si>
  <si>
    <t>Bank of Baroda (04/02/2027) #</t>
  </si>
  <si>
    <t>BKBA566</t>
  </si>
  <si>
    <t>INE040A16IK8</t>
  </si>
  <si>
    <t>HDFC Bank Limited (22/01/2027)</t>
  </si>
  <si>
    <t>HDFB1034</t>
  </si>
  <si>
    <t>INE040A16HW5</t>
  </si>
  <si>
    <t>HDFC Bank Limited (13/11/2026) #</t>
  </si>
  <si>
    <t>HDFB1022</t>
  </si>
  <si>
    <t>INE556F16BR2</t>
  </si>
  <si>
    <t>Small Industries Dev Bank of India (10/11/2026)</t>
  </si>
  <si>
    <t>SIDB630</t>
  </si>
  <si>
    <t>INE040A16HR5</t>
  </si>
  <si>
    <t>HDFC Bank Limited (21/09/2026)</t>
  </si>
  <si>
    <t>HDFB1031</t>
  </si>
  <si>
    <t>INE160A16UO1</t>
  </si>
  <si>
    <t>Punjab National Bank (02/09/2026)</t>
  </si>
  <si>
    <t>PUBA1162</t>
  </si>
  <si>
    <t>INE261F16AH2</t>
  </si>
  <si>
    <t>National Bank For Agriculture and Rural Development (28/01/2027)</t>
  </si>
  <si>
    <t>NBAR874</t>
  </si>
  <si>
    <t>INE261F16AF6</t>
  </si>
  <si>
    <t>National Bank For Agriculture and Rural Development (22/01/2027)</t>
  </si>
  <si>
    <t>NBAR872</t>
  </si>
  <si>
    <t>INE556F16BT8</t>
  </si>
  <si>
    <t>Small Industries Dev Bank of India (16/12/2026)</t>
  </si>
  <si>
    <t>SIDB642</t>
  </si>
  <si>
    <t>INE090AD6279</t>
  </si>
  <si>
    <t>ICICI Bank Limited (27/01/2027) #</t>
  </si>
  <si>
    <t>IBCL1180</t>
  </si>
  <si>
    <t>INE237AD6117</t>
  </si>
  <si>
    <t>Kotak Mahindra Bank Limited (08/01/2027) #</t>
  </si>
  <si>
    <t>KMBK894</t>
  </si>
  <si>
    <t>INE028A16KW4</t>
  </si>
  <si>
    <t>Bank of Baroda (15/12/2026)</t>
  </si>
  <si>
    <t>BKBA559</t>
  </si>
  <si>
    <t>INE556F16BL5</t>
  </si>
  <si>
    <t>Small Industries Dev Bank of India (13/10/2026)</t>
  </si>
  <si>
    <t>SIDB619</t>
  </si>
  <si>
    <t>INE261F16AD1</t>
  </si>
  <si>
    <t>National Bank For Agriculture and Rural Development (14/01/2027) #</t>
  </si>
  <si>
    <t>NBAR870</t>
  </si>
  <si>
    <t>INE261F16AE9</t>
  </si>
  <si>
    <t>National Bank For Agriculture and Rural Development (19/01/2027)</t>
  </si>
  <si>
    <t>NBAR871</t>
  </si>
  <si>
    <t>INE238AD6CL0</t>
  </si>
  <si>
    <t>Axis Bank Limited (01/09/2026) #</t>
  </si>
  <si>
    <t>UTIB1396</t>
  </si>
  <si>
    <t>INE562A16QG2</t>
  </si>
  <si>
    <t>Indian Bank (22/01/2027)</t>
  </si>
  <si>
    <t>INBK516</t>
  </si>
  <si>
    <t>INE476A16E38</t>
  </si>
  <si>
    <t>Canara Bank (11/11/2026)</t>
  </si>
  <si>
    <t>CANB1068</t>
  </si>
  <si>
    <t>INE556F16BK7</t>
  </si>
  <si>
    <t>Small Industries Dev Bank of India (24/09/2026)</t>
  </si>
  <si>
    <t>SIDB618</t>
  </si>
  <si>
    <t>INE237AD6042</t>
  </si>
  <si>
    <t>Kotak Mahindra Bank Limited (24/09/2026)</t>
  </si>
  <si>
    <t>KMBK889</t>
  </si>
  <si>
    <t>INE040A16HL8</t>
  </si>
  <si>
    <t>HDFC Bank Limited (10/09/2026) #</t>
  </si>
  <si>
    <t>HDFB1013</t>
  </si>
  <si>
    <t>INE261F16AB5</t>
  </si>
  <si>
    <t>National Bank For Agriculture and Rural Development (18/09/2026)</t>
  </si>
  <si>
    <t>NBAR865</t>
  </si>
  <si>
    <t>INE476A16F78</t>
  </si>
  <si>
    <t>Canara Bank (18/12/2026)</t>
  </si>
  <si>
    <t>CANB1078</t>
  </si>
  <si>
    <t>INE237AD6109</t>
  </si>
  <si>
    <t>Kotak Mahindra Bank Limited (18/12/2026)</t>
  </si>
  <si>
    <t>KMBK893</t>
  </si>
  <si>
    <t>Certificate of Deposit</t>
  </si>
  <si>
    <t>Money Market Instruments</t>
  </si>
  <si>
    <t>(b) Unlisted</t>
  </si>
  <si>
    <t>Computer Software: Programming, Data Processing ##</t>
  </si>
  <si>
    <t>US30303M1027</t>
  </si>
  <si>
    <t>Meta Platforms Registered Shares A</t>
  </si>
  <si>
    <t>14971609USD</t>
  </si>
  <si>
    <t>Catalog/Specialty Distribution ##</t>
  </si>
  <si>
    <t>US0231351067</t>
  </si>
  <si>
    <t>Amazon Com Inc</t>
  </si>
  <si>
    <t>645156USD</t>
  </si>
  <si>
    <t>Computer Software: Prepackaged Software ##</t>
  </si>
  <si>
    <t>US5949181045</t>
  </si>
  <si>
    <t>Microsoft Corp</t>
  </si>
  <si>
    <t>951692USD</t>
  </si>
  <si>
    <t>US02079K3059</t>
  </si>
  <si>
    <t>Alphabet Inc A</t>
  </si>
  <si>
    <t>29798540USD</t>
  </si>
  <si>
    <t>(a) Listed / awaiting listing on Stock Exchanges</t>
  </si>
  <si>
    <t>Equity &amp; Equity related Foreign Investments</t>
  </si>
  <si>
    <t>(c) Unlisted</t>
  </si>
  <si>
    <t>Realty</t>
  </si>
  <si>
    <t>INE0FDU25010</t>
  </si>
  <si>
    <t>Brookfield India Real Estate Trust</t>
  </si>
  <si>
    <t>BRFI01</t>
  </si>
  <si>
    <t>INE1JAR25012</t>
  </si>
  <si>
    <t>Knowledge Realty Trust</t>
  </si>
  <si>
    <t>KRET01</t>
  </si>
  <si>
    <t>INE041025011</t>
  </si>
  <si>
    <t>Embassy Office Parks REIT</t>
  </si>
  <si>
    <t>EOPR01</t>
  </si>
  <si>
    <t>(b) Reits</t>
  </si>
  <si>
    <t>Power</t>
  </si>
  <si>
    <t>INE121E01018</t>
  </si>
  <si>
    <t>JSWE01</t>
  </si>
  <si>
    <t>Pharmaceuticals &amp; Biotechnology</t>
  </si>
  <si>
    <t>INE326A01037</t>
  </si>
  <si>
    <t>LUPL02</t>
  </si>
  <si>
    <t>Agricultural Food &amp; other Products</t>
  </si>
  <si>
    <t>INE192A01025</t>
  </si>
  <si>
    <t>TTEA02</t>
  </si>
  <si>
    <t>Ferrous Metals</t>
  </si>
  <si>
    <t>INE019A01038</t>
  </si>
  <si>
    <t>JVSL04</t>
  </si>
  <si>
    <t>Agricultural, Commercial &amp; Construction Vehicles</t>
  </si>
  <si>
    <t>INE208A01029</t>
  </si>
  <si>
    <t>ASHL02</t>
  </si>
  <si>
    <t>Banks</t>
  </si>
  <si>
    <t>INE092T01019</t>
  </si>
  <si>
    <t>IDBK01</t>
  </si>
  <si>
    <t>Finance</t>
  </si>
  <si>
    <t>INE918I01026</t>
  </si>
  <si>
    <t>BFSL02</t>
  </si>
  <si>
    <t>Automobiles</t>
  </si>
  <si>
    <t>INE494B01023</t>
  </si>
  <si>
    <t>SAEL02</t>
  </si>
  <si>
    <t>INE066A01021</t>
  </si>
  <si>
    <t>EIML02</t>
  </si>
  <si>
    <t>INE095A01012</t>
  </si>
  <si>
    <t>IIBL01</t>
  </si>
  <si>
    <t>Cement &amp; Cement Products</t>
  </si>
  <si>
    <t>INE047A01021</t>
  </si>
  <si>
    <t>GRAS02</t>
  </si>
  <si>
    <t>Aerospace &amp; Defense</t>
  </si>
  <si>
    <t>INE263A01024</t>
  </si>
  <si>
    <t>BHEL02</t>
  </si>
  <si>
    <t>Diversified FMCG</t>
  </si>
  <si>
    <t>INE030A01027</t>
  </si>
  <si>
    <t>HLEL02</t>
  </si>
  <si>
    <t>INE081A01020</t>
  </si>
  <si>
    <t>TISC03</t>
  </si>
  <si>
    <t>Oil</t>
  </si>
  <si>
    <t>INE213A01029</t>
  </si>
  <si>
    <t>ONGC02</t>
  </si>
  <si>
    <t>Non - Ferrous Metals</t>
  </si>
  <si>
    <t>INE038A01020</t>
  </si>
  <si>
    <t>HINI02</t>
  </si>
  <si>
    <t>INE481G01011</t>
  </si>
  <si>
    <t>ULCC01</t>
  </si>
  <si>
    <t>INE361B01024</t>
  </si>
  <si>
    <t>DIVI02</t>
  </si>
  <si>
    <t>INE062A01020</t>
  </si>
  <si>
    <t>SBAI02</t>
  </si>
  <si>
    <t>INE476A01022</t>
  </si>
  <si>
    <t>CANB02</t>
  </si>
  <si>
    <t>INE066F01020</t>
  </si>
  <si>
    <t>HALT02</t>
  </si>
  <si>
    <t>Consumer Durables</t>
  </si>
  <si>
    <t>INE280A01028</t>
  </si>
  <si>
    <t>TWAT02</t>
  </si>
  <si>
    <t>INE044A01036</t>
  </si>
  <si>
    <t>SPIL03</t>
  </si>
  <si>
    <t>Petroleum Products</t>
  </si>
  <si>
    <t>INE002A01018</t>
  </si>
  <si>
    <t>RIND01</t>
  </si>
  <si>
    <t>INE296A01032</t>
  </si>
  <si>
    <t>BAFL03</t>
  </si>
  <si>
    <t>Arbitrage</t>
  </si>
  <si>
    <t>Industrial Products</t>
  </si>
  <si>
    <t>INE277A01016</t>
  </si>
  <si>
    <t>Swaraj Engines Limited</t>
  </si>
  <si>
    <t>SWEN01</t>
  </si>
  <si>
    <t>Commercial Services &amp; Supplies</t>
  </si>
  <si>
    <t>INE317F01035</t>
  </si>
  <si>
    <t>Nesco Limited</t>
  </si>
  <si>
    <t>NESC02</t>
  </si>
  <si>
    <t>Telecom - Services</t>
  </si>
  <si>
    <t>INE121J01017</t>
  </si>
  <si>
    <t>Indus Towers Limited</t>
  </si>
  <si>
    <t>BINL01</t>
  </si>
  <si>
    <t>Capital Markets</t>
  </si>
  <si>
    <t>INE725G01011</t>
  </si>
  <si>
    <t>ICRA Limited</t>
  </si>
  <si>
    <t>ICRA01</t>
  </si>
  <si>
    <t>INE288A01013</t>
  </si>
  <si>
    <t>Maharashtra Scooters Limited</t>
  </si>
  <si>
    <t>MASC01</t>
  </si>
  <si>
    <t>Transport Services</t>
  </si>
  <si>
    <t>INE017A01032</t>
  </si>
  <si>
    <t>The Great Eastern Shipping Company Limited</t>
  </si>
  <si>
    <t>GREA03</t>
  </si>
  <si>
    <t>Auto Components</t>
  </si>
  <si>
    <t>INE536H01010</t>
  </si>
  <si>
    <t>CIE Automotive India Limited</t>
  </si>
  <si>
    <t>MAAU01</t>
  </si>
  <si>
    <t>INE925R01014</t>
  </si>
  <si>
    <t>CMS Info System Limited</t>
  </si>
  <si>
    <t>CMSI01</t>
  </si>
  <si>
    <t>INE736A01011</t>
  </si>
  <si>
    <t>Central Depository Services (India) Limited</t>
  </si>
  <si>
    <t>CDSL01</t>
  </si>
  <si>
    <t>Gas</t>
  </si>
  <si>
    <t>INE002S01010</t>
  </si>
  <si>
    <t>Mahanagar Gas Limited</t>
  </si>
  <si>
    <t>MAGL01</t>
  </si>
  <si>
    <t>Healthcare Services</t>
  </si>
  <si>
    <t>INE410P01011</t>
  </si>
  <si>
    <t>Narayana Hrudayalaya Limited</t>
  </si>
  <si>
    <t>NAHR01</t>
  </si>
  <si>
    <t>INE347G01014</t>
  </si>
  <si>
    <t>Petronet LNG Limited</t>
  </si>
  <si>
    <t>PLNG01</t>
  </si>
  <si>
    <t>Food Products</t>
  </si>
  <si>
    <t>INE126A01031</t>
  </si>
  <si>
    <t>EID Parry India Limited</t>
  </si>
  <si>
    <t>EIDP03</t>
  </si>
  <si>
    <t>INE271C01023</t>
  </si>
  <si>
    <t>DLF Limited</t>
  </si>
  <si>
    <t>DLFL01</t>
  </si>
  <si>
    <t>INE022Q01020</t>
  </si>
  <si>
    <t>Indian Energy Exchange Limited</t>
  </si>
  <si>
    <t>IEEL02</t>
  </si>
  <si>
    <t>INE768C01028</t>
  </si>
  <si>
    <t>Zydus Wellness Limited</t>
  </si>
  <si>
    <t>CNAF02</t>
  </si>
  <si>
    <t>INE089A01031</t>
  </si>
  <si>
    <t>DRRL03</t>
  </si>
  <si>
    <t>INE203G01027</t>
  </si>
  <si>
    <t>Indraprastha Gas Limited</t>
  </si>
  <si>
    <t>IGAS02</t>
  </si>
  <si>
    <t>INE059A01026</t>
  </si>
  <si>
    <t>CIPL03</t>
  </si>
  <si>
    <t>INE010B01027</t>
  </si>
  <si>
    <t>Zydus Lifesciences Limited</t>
  </si>
  <si>
    <t>CHEL02</t>
  </si>
  <si>
    <t>INE585B01010</t>
  </si>
  <si>
    <t>MAUD01</t>
  </si>
  <si>
    <t>INE397D01024</t>
  </si>
  <si>
    <t>Bharti Airtel Limited</t>
  </si>
  <si>
    <t>BTVL02</t>
  </si>
  <si>
    <t>IT - Software</t>
  </si>
  <si>
    <t>INE467B01029</t>
  </si>
  <si>
    <t>Tata Consultancy Services Limited</t>
  </si>
  <si>
    <t>TCSL01</t>
  </si>
  <si>
    <t>INE238A01034</t>
  </si>
  <si>
    <t>Axis Bank Limited</t>
  </si>
  <si>
    <t>UTIB02</t>
  </si>
  <si>
    <t>INE009A01021</t>
  </si>
  <si>
    <t>Infosys Limited</t>
  </si>
  <si>
    <t>INFS02</t>
  </si>
  <si>
    <t>INE101A01026</t>
  </si>
  <si>
    <t>MAHI02</t>
  </si>
  <si>
    <t>INE860A01027</t>
  </si>
  <si>
    <t>HCL Technologies Limited</t>
  </si>
  <si>
    <t>HCLT02</t>
  </si>
  <si>
    <t>INE237A01036</t>
  </si>
  <si>
    <t>Kotak Mahindra Bank Limited</t>
  </si>
  <si>
    <t>KOMA03</t>
  </si>
  <si>
    <t>Consumable Fuels</t>
  </si>
  <si>
    <t>INE522F01014</t>
  </si>
  <si>
    <t>COAL01</t>
  </si>
  <si>
    <t>INE118A01012</t>
  </si>
  <si>
    <t>Bajaj Holdings &amp; Investment Limited</t>
  </si>
  <si>
    <t>BAJA01</t>
  </si>
  <si>
    <t>INE154A01025</t>
  </si>
  <si>
    <t>ITC Limited</t>
  </si>
  <si>
    <t>ITCL02</t>
  </si>
  <si>
    <t>INE752E01010</t>
  </si>
  <si>
    <t>PGCI01</t>
  </si>
  <si>
    <t>INE090A01021</t>
  </si>
  <si>
    <t>ICICI Bank Limited</t>
  </si>
  <si>
    <t>IBCL05</t>
  </si>
  <si>
    <t>INE040A01034</t>
  </si>
  <si>
    <t>HDFC Bank Limited</t>
  </si>
  <si>
    <t>HDFB03</t>
  </si>
  <si>
    <t>Equity &amp; Equity related</t>
  </si>
  <si>
    <t>YTC^</t>
  </si>
  <si>
    <t>YTM~</t>
  </si>
  <si>
    <t>% to Net
 Assets</t>
  </si>
  <si>
    <t>Market/Fair Value
 (Rs. in Lakhs)</t>
  </si>
  <si>
    <t>Industry / Rating</t>
  </si>
  <si>
    <t>ISIN</t>
  </si>
  <si>
    <t>Monthly Portfolio Statement as on August 31, 2026</t>
  </si>
  <si>
    <t xml:space="preserve">
  </t>
  </si>
  <si>
    <t>Parag Parikh Flexi Cap Fund (An open-ended dynamic equity scheme investing across large cap, mid-cap, small-cap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</si>
</sst>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0"/>
    <numFmt numFmtId="165" formatCode="_(* #,##0.00_);_(* \(#,##0.00\);_(* &quot;-&quot;_);_(* @_)"/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* @_)"/>
    <numFmt numFmtId="169" formatCode="_-* #,##0.00_-;\-* #,##0.00_-;_-* &quot;-&quot;??_-;_-@_-"/>
    <numFmt numFmtId="170" formatCode="[$-409]mmmm/yy;@"/>
    <numFmt numFmtId="171" formatCode="#,##0.0000"/>
    <numFmt numFmtId="172" formatCode="#,##0.00;\(#,##0.00\)"/>
    <numFmt numFmtId="173" formatCode="[$-809]dd\ mmmm\ yyyy;@"/>
    <numFmt numFmtId="174" formatCode="#,##0.00%"/>
    <numFmt numFmtId="175" formatCode="#,##0.00%;\(#,##0.00\)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6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" fillId="0" borderId="0"/>
  </cellStyleXfs>
  <cellXfs count="162">
    <xf numFmtId="0" fontId="0" fillId="0" borderId="0" xfId="0"/>
    <xf numFmtId="0" fontId="2" fillId="0" borderId="0" xfId="0" applyFont="1"/>
    <xf numFmtId="0" fontId="2" fillId="0" borderId="0" xfId="2" applyFont="1"/>
    <xf numFmtId="0" fontId="2" fillId="0" borderId="0" xfId="2" applyFont="1" applyAlignment="1">
      <alignment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center"/>
    </xf>
    <xf numFmtId="0" fontId="4" fillId="0" borderId="0" xfId="2" applyFont="1"/>
    <xf numFmtId="164" fontId="4" fillId="0" borderId="0" xfId="2" applyNumberFormat="1" applyFont="1"/>
    <xf numFmtId="0" fontId="4" fillId="0" borderId="0" xfId="0" applyFont="1"/>
    <xf numFmtId="10" fontId="4" fillId="0" borderId="0" xfId="0" applyNumberFormat="1" applyFont="1" applyAlignment="1">
      <alignment horizontal="right" vertical="center"/>
    </xf>
    <xf numFmtId="164" fontId="4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10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wrapText="1"/>
    </xf>
    <xf numFmtId="4" fontId="4" fillId="0" borderId="0" xfId="0" applyNumberFormat="1" applyFont="1" applyAlignment="1">
      <alignment horizontal="right" vertical="center"/>
    </xf>
    <xf numFmtId="10" fontId="4" fillId="0" borderId="1" xfId="1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right" vertical="center"/>
    </xf>
    <xf numFmtId="10" fontId="4" fillId="0" borderId="0" xfId="0" applyNumberFormat="1" applyFont="1" applyAlignment="1">
      <alignment horizontal="right" vertical="center" wrapText="1"/>
    </xf>
    <xf numFmtId="4" fontId="4" fillId="0" borderId="1" xfId="0" applyNumberFormat="1" applyFont="1" applyBorder="1"/>
    <xf numFmtId="1" fontId="4" fillId="0" borderId="1" xfId="0" applyNumberFormat="1" applyFont="1" applyBorder="1"/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1" fontId="4" fillId="0" borderId="0" xfId="0" applyNumberFormat="1" applyFont="1" applyAlignment="1" applyProtection="1">
      <alignment horizontal="center" vertical="center"/>
      <protection locked="0"/>
    </xf>
    <xf numFmtId="10" fontId="4" fillId="0" borderId="0" xfId="1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 applyProtection="1">
      <alignment horizontal="center"/>
      <protection locked="0"/>
    </xf>
    <xf numFmtId="10" fontId="4" fillId="0" borderId="1" xfId="1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0" borderId="3" xfId="3" applyFont="1" applyBorder="1"/>
    <xf numFmtId="0" fontId="4" fillId="0" borderId="4" xfId="3" applyFont="1" applyBorder="1" applyAlignment="1">
      <alignment horizontal="left"/>
    </xf>
    <xf numFmtId="0" fontId="4" fillId="0" borderId="5" xfId="3" applyFont="1" applyBorder="1" applyAlignment="1">
      <alignment horizontal="left"/>
    </xf>
    <xf numFmtId="0" fontId="4" fillId="0" borderId="6" xfId="0" applyFont="1" applyBorder="1"/>
    <xf numFmtId="0" fontId="5" fillId="0" borderId="7" xfId="0" applyFont="1" applyBorder="1"/>
    <xf numFmtId="0" fontId="4" fillId="0" borderId="7" xfId="0" applyFont="1" applyBorder="1"/>
    <xf numFmtId="0" fontId="5" fillId="0" borderId="0" xfId="0" applyFont="1"/>
    <xf numFmtId="165" fontId="4" fillId="0" borderId="0" xfId="0" applyNumberFormat="1" applyFont="1"/>
    <xf numFmtId="0" fontId="5" fillId="0" borderId="0" xfId="0" applyFont="1" applyAlignment="1">
      <alignment vertical="top" wrapText="1"/>
    </xf>
    <xf numFmtId="0" fontId="5" fillId="0" borderId="7" xfId="0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0" xfId="4" applyNumberFormat="1" applyFont="1" applyFill="1" applyBorder="1" applyAlignment="1">
      <alignment horizontal="left"/>
    </xf>
    <xf numFmtId="0" fontId="4" fillId="0" borderId="7" xfId="4" applyNumberFormat="1" applyFont="1" applyFill="1" applyBorder="1" applyAlignment="1">
      <alignment horizontal="left"/>
    </xf>
    <xf numFmtId="4" fontId="4" fillId="0" borderId="6" xfId="0" applyNumberFormat="1" applyFont="1" applyBorder="1"/>
    <xf numFmtId="4" fontId="4" fillId="0" borderId="0" xfId="0" applyNumberFormat="1" applyFont="1"/>
    <xf numFmtId="167" fontId="4" fillId="0" borderId="6" xfId="4" applyNumberFormat="1" applyFont="1" applyFill="1" applyBorder="1"/>
    <xf numFmtId="167" fontId="4" fillId="0" borderId="0" xfId="4" applyNumberFormat="1" applyFont="1" applyFill="1" applyBorder="1"/>
    <xf numFmtId="168" fontId="4" fillId="0" borderId="0" xfId="4" applyNumberFormat="1" applyFont="1" applyFill="1" applyBorder="1"/>
    <xf numFmtId="166" fontId="4" fillId="0" borderId="6" xfId="4" applyFont="1" applyFill="1" applyBorder="1"/>
    <xf numFmtId="167" fontId="4" fillId="0" borderId="0" xfId="5" applyNumberFormat="1" applyFont="1" applyFill="1" applyBorder="1"/>
    <xf numFmtId="169" fontId="4" fillId="0" borderId="0" xfId="5" applyFont="1" applyFill="1" applyBorder="1"/>
    <xf numFmtId="169" fontId="4" fillId="0" borderId="7" xfId="5" applyFont="1" applyFill="1" applyBorder="1"/>
    <xf numFmtId="0" fontId="2" fillId="0" borderId="6" xfId="0" applyFont="1" applyBorder="1"/>
    <xf numFmtId="166" fontId="4" fillId="0" borderId="0" xfId="4" applyFont="1" applyFill="1" applyBorder="1"/>
    <xf numFmtId="167" fontId="4" fillId="0" borderId="1" xfId="5" applyNumberFormat="1" applyFont="1" applyFill="1" applyBorder="1"/>
    <xf numFmtId="169" fontId="4" fillId="0" borderId="1" xfId="5" applyFont="1" applyFill="1" applyBorder="1"/>
    <xf numFmtId="4" fontId="4" fillId="0" borderId="0" xfId="4" applyNumberFormat="1" applyFont="1" applyFill="1" applyBorder="1"/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169" fontId="4" fillId="0" borderId="8" xfId="5" applyFont="1" applyFill="1" applyBorder="1" applyAlignment="1">
      <alignment horizontal="center" vertical="center" wrapText="1"/>
    </xf>
    <xf numFmtId="170" fontId="4" fillId="0" borderId="1" xfId="3" applyNumberFormat="1" applyFont="1" applyBorder="1"/>
    <xf numFmtId="170" fontId="4" fillId="0" borderId="1" xfId="0" applyNumberFormat="1" applyFont="1" applyBorder="1"/>
    <xf numFmtId="169" fontId="4" fillId="0" borderId="9" xfId="5" applyFont="1" applyFill="1" applyBorder="1" applyAlignment="1">
      <alignment horizontal="center" vertical="center" wrapText="1"/>
    </xf>
    <xf numFmtId="169" fontId="4" fillId="0" borderId="10" xfId="5" applyFont="1" applyFill="1" applyBorder="1" applyAlignment="1">
      <alignment horizontal="center" vertical="center" wrapText="1"/>
    </xf>
    <xf numFmtId="171" fontId="5" fillId="0" borderId="6" xfId="6" applyNumberFormat="1" applyFont="1" applyBorder="1"/>
    <xf numFmtId="171" fontId="5" fillId="0" borderId="0" xfId="6" applyNumberFormat="1" applyFont="1"/>
    <xf numFmtId="0" fontId="4" fillId="0" borderId="0" xfId="6" applyFont="1" applyAlignment="1">
      <alignment vertical="top"/>
    </xf>
    <xf numFmtId="0" fontId="4" fillId="0" borderId="7" xfId="6" applyFont="1" applyBorder="1" applyAlignment="1">
      <alignment vertical="top"/>
    </xf>
    <xf numFmtId="169" fontId="4" fillId="0" borderId="6" xfId="5" applyFont="1" applyFill="1" applyBorder="1"/>
    <xf numFmtId="0" fontId="4" fillId="0" borderId="7" xfId="0" applyFont="1" applyBorder="1" applyAlignment="1">
      <alignment vertical="top"/>
    </xf>
    <xf numFmtId="0" fontId="4" fillId="0" borderId="0" xfId="0" applyFont="1" applyAlignment="1">
      <alignment vertical="top"/>
    </xf>
    <xf numFmtId="2" fontId="4" fillId="0" borderId="7" xfId="0" applyNumberFormat="1" applyFont="1" applyBorder="1" applyAlignment="1">
      <alignment vertical="top"/>
    </xf>
    <xf numFmtId="4" fontId="4" fillId="0" borderId="7" xfId="0" applyNumberFormat="1" applyFont="1" applyBorder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 indent="3"/>
    </xf>
    <xf numFmtId="0" fontId="4" fillId="0" borderId="7" xfId="0" applyFont="1" applyBorder="1" applyAlignment="1">
      <alignment horizontal="left" vertical="top" indent="3"/>
    </xf>
    <xf numFmtId="4" fontId="4" fillId="0" borderId="0" xfId="0" applyNumberFormat="1" applyFont="1" applyAlignment="1">
      <alignment horizontal="left" vertical="top" indent="3"/>
    </xf>
    <xf numFmtId="169" fontId="4" fillId="0" borderId="7" xfId="5" applyFont="1" applyFill="1" applyBorder="1" applyAlignment="1">
      <alignment vertical="top"/>
    </xf>
    <xf numFmtId="169" fontId="4" fillId="0" borderId="0" xfId="5" applyFont="1" applyFill="1" applyBorder="1" applyAlignment="1">
      <alignment horizontal="right"/>
    </xf>
    <xf numFmtId="2" fontId="4" fillId="0" borderId="0" xfId="0" applyNumberFormat="1" applyFont="1" applyAlignment="1">
      <alignment horizontal="right"/>
    </xf>
    <xf numFmtId="4" fontId="4" fillId="0" borderId="0" xfId="5" applyNumberFormat="1" applyFont="1" applyFill="1" applyBorder="1" applyAlignment="1">
      <alignment vertical="top"/>
    </xf>
    <xf numFmtId="172" fontId="4" fillId="0" borderId="0" xfId="0" applyNumberFormat="1" applyFont="1" applyAlignment="1">
      <alignment vertical="top"/>
    </xf>
    <xf numFmtId="167" fontId="4" fillId="0" borderId="6" xfId="5" applyNumberFormat="1" applyFont="1" applyFill="1" applyBorder="1"/>
    <xf numFmtId="0" fontId="4" fillId="0" borderId="0" xfId="3" applyFont="1"/>
    <xf numFmtId="169" fontId="2" fillId="0" borderId="0" xfId="5" applyFont="1" applyFill="1"/>
    <xf numFmtId="164" fontId="4" fillId="0" borderId="1" xfId="3" applyNumberFormat="1" applyFont="1" applyBorder="1"/>
    <xf numFmtId="0" fontId="4" fillId="0" borderId="1" xfId="0" applyFont="1" applyBorder="1" applyAlignment="1">
      <alignment horizontal="left" indent="5"/>
    </xf>
    <xf numFmtId="173" fontId="5" fillId="0" borderId="1" xfId="3" applyNumberFormat="1" applyFont="1" applyBorder="1"/>
    <xf numFmtId="0" fontId="5" fillId="0" borderId="1" xfId="0" applyFont="1" applyBorder="1" applyAlignment="1">
      <alignment horizontal="left" indent="5"/>
    </xf>
    <xf numFmtId="173" fontId="5" fillId="0" borderId="0" xfId="3" applyNumberFormat="1" applyFont="1"/>
    <xf numFmtId="0" fontId="4" fillId="0" borderId="7" xfId="0" applyFont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6" fontId="4" fillId="0" borderId="0" xfId="4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169" fontId="4" fillId="0" borderId="11" xfId="5" applyFont="1" applyFill="1" applyBorder="1"/>
    <xf numFmtId="169" fontId="4" fillId="0" borderId="12" xfId="5" applyFont="1" applyFill="1" applyBorder="1"/>
    <xf numFmtId="167" fontId="4" fillId="0" borderId="12" xfId="5" applyNumberFormat="1" applyFont="1" applyFill="1" applyBorder="1"/>
    <xf numFmtId="0" fontId="4" fillId="0" borderId="12" xfId="0" applyFont="1" applyBorder="1"/>
    <xf numFmtId="0" fontId="5" fillId="0" borderId="13" xfId="0" applyFont="1" applyBorder="1"/>
    <xf numFmtId="0" fontId="7" fillId="0" borderId="0" xfId="0" applyFont="1" applyAlignment="1">
      <alignment horizontal="right" vertical="top" wrapText="1"/>
    </xf>
    <xf numFmtId="174" fontId="7" fillId="0" borderId="0" xfId="0" applyNumberFormat="1" applyFont="1" applyAlignment="1">
      <alignment horizontal="right" vertical="top" wrapText="1"/>
    </xf>
    <xf numFmtId="172" fontId="7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2" fillId="0" borderId="0" xfId="0" applyFont="1" applyAlignment="1" applyProtection="1">
      <alignment wrapText="1"/>
      <protection locked="0"/>
    </xf>
    <xf numFmtId="0" fontId="7" fillId="0" borderId="14" xfId="0" applyFont="1" applyBorder="1" applyAlignment="1">
      <alignment horizontal="right" vertical="top" wrapText="1"/>
    </xf>
    <xf numFmtId="175" fontId="7" fillId="0" borderId="15" xfId="0" applyNumberFormat="1" applyFont="1" applyBorder="1" applyAlignment="1">
      <alignment horizontal="right" vertical="top" wrapText="1"/>
    </xf>
    <xf numFmtId="172" fontId="7" fillId="0" borderId="16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right" vertical="top" wrapText="1"/>
    </xf>
    <xf numFmtId="175" fontId="7" fillId="0" borderId="20" xfId="0" applyNumberFormat="1" applyFont="1" applyBorder="1" applyAlignment="1">
      <alignment horizontal="right" vertical="top" wrapText="1"/>
    </xf>
    <xf numFmtId="172" fontId="7" fillId="0" borderId="21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right" vertical="top" wrapText="1"/>
    </xf>
    <xf numFmtId="175" fontId="8" fillId="0" borderId="24" xfId="0" applyNumberFormat="1" applyFont="1" applyBorder="1" applyAlignment="1">
      <alignment horizontal="right" vertical="top" wrapText="1"/>
    </xf>
    <xf numFmtId="172" fontId="8" fillId="0" borderId="25" xfId="0" applyNumberFormat="1" applyFont="1" applyBorder="1" applyAlignment="1">
      <alignment horizontal="right" vertical="top" wrapText="1"/>
    </xf>
    <xf numFmtId="0" fontId="8" fillId="0" borderId="24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25" xfId="0" applyFont="1" applyBorder="1" applyAlignment="1">
      <alignment horizontal="righ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/>
    </xf>
    <xf numFmtId="0" fontId="3" fillId="0" borderId="1" xfId="0" applyFont="1" applyBorder="1" applyAlignment="1" applyProtection="1">
      <alignment wrapText="1"/>
      <protection locked="0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 applyAlignment="1">
      <alignment horizontal="right" vertical="top" wrapText="1"/>
    </xf>
    <xf numFmtId="0" fontId="7" fillId="0" borderId="28" xfId="0" applyFont="1" applyBorder="1" applyAlignment="1">
      <alignment horizontal="right" vertical="top" wrapText="1"/>
    </xf>
    <xf numFmtId="174" fontId="7" fillId="0" borderId="15" xfId="0" applyNumberFormat="1" applyFont="1" applyBorder="1" applyAlignment="1">
      <alignment horizontal="right" vertical="top" wrapText="1"/>
    </xf>
    <xf numFmtId="172" fontId="7" fillId="0" borderId="15" xfId="0" applyNumberFormat="1" applyFont="1" applyBorder="1" applyAlignment="1">
      <alignment horizontal="right" vertical="top" wrapText="1"/>
    </xf>
    <xf numFmtId="0" fontId="7" fillId="0" borderId="2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172" fontId="7" fillId="0" borderId="20" xfId="0" applyNumberFormat="1" applyFont="1" applyBorder="1" applyAlignment="1">
      <alignment horizontal="right" vertical="top" wrapText="1"/>
    </xf>
    <xf numFmtId="0" fontId="8" fillId="0" borderId="30" xfId="0" applyFont="1" applyBorder="1" applyAlignment="1">
      <alignment horizontal="left" vertical="top" wrapText="1"/>
    </xf>
    <xf numFmtId="174" fontId="8" fillId="0" borderId="25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/>
    </xf>
  </cellXfs>
  <cellStyles count="7">
    <cellStyle name="Comma 2" xfId="4" xr:uid="{F9BE7BE2-9268-4B35-B7C8-78834E6ED889}"/>
    <cellStyle name="Comma 3" xfId="5" xr:uid="{734A76F2-98FC-4274-8E5E-A849DCD51B04}"/>
    <cellStyle name="Normal" xfId="0" builtinId="0"/>
    <cellStyle name="Normal 13" xfId="2" xr:uid="{EAECADA8-D1F0-4D03-B042-4C756A87F2D6}"/>
    <cellStyle name="Normal 2" xfId="3" xr:uid="{CB52E943-36C8-4467-A4BB-D7CC5D8D8881}"/>
    <cellStyle name="Normal 2 2" xfId="6" xr:uid="{981904ED-6307-48F5-99C1-C91FDBBA0D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638175</xdr:colOff>
      <xdr:row>372</xdr:row>
      <xdr:rowOff>123825</xdr:rowOff>
    </xdr:from>
    <xdr:ext cx="2724150" cy="1501775"/>
    <xdr:pic>
      <xdr:nvPicPr>
        <xdr:cNvPr id="2" name="Picture 1">
          <a:extLst>
            <a:ext uri="{FF2B5EF4-FFF2-40B4-BE49-F238E27FC236}">
              <a16:creationId xmlns:a16="http://schemas.microsoft.com/office/drawing/2014/main" id="{7433CDAF-B349-4005-8D63-DAA5045D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525" y="68627625"/>
          <a:ext cx="2724150" cy="150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4143375</xdr:colOff>
      <xdr:row>373</xdr:row>
      <xdr:rowOff>47625</xdr:rowOff>
    </xdr:from>
    <xdr:ext cx="2909572" cy="1441451"/>
    <xdr:pic>
      <xdr:nvPicPr>
        <xdr:cNvPr id="3" name="Picture 2">
          <a:extLst>
            <a:ext uri="{FF2B5EF4-FFF2-40B4-BE49-F238E27FC236}">
              <a16:creationId xmlns:a16="http://schemas.microsoft.com/office/drawing/2014/main" id="{FD529CD0-8007-4054-AE34-9DAD9ED4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525" y="68735575"/>
          <a:ext cx="2909572" cy="144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PFAS_Monthly_Portfolio_Report_August_31_2026.xls" TargetMode="External"/><Relationship Id="rId2" Type="http://schemas.openxmlformats.org/officeDocument/2006/relationships/externalLinkPath" Target="file:///C:\Users\313635\Downloads\PPFAS_Monthly_Portfolio_Report_August_31_2026.xls" TargetMode="External"/><Relationship Id="rId1" Type="http://schemas.openxmlformats.org/officeDocument/2006/relationships/externalLinkPath" Target="/Users/313635/Downloads/PPFAS_Monthly_Portfolio_Report_August_31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PLF"/>
      <sheetName val="PPTSF"/>
      <sheetName val="PPCHF"/>
      <sheetName val="PPAF"/>
      <sheetName val="PPDAAF"/>
      <sheetName val="PPLC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0E94-3DA5-45F3-BAAB-793F22DC379C}">
  <sheetPr>
    <outlinePr summaryBelow="0"/>
  </sheetPr>
  <dimension ref="A1:L382"/>
  <sheetViews>
    <sheetView tabSelected="1" topLeftCell="A262" workbookViewId="0">
      <selection activeCell="A3" sqref="A3:I151"/>
    </sheetView>
  </sheetViews>
  <sheetFormatPr defaultColWidth="9.1796875" defaultRowHeight="11.5" x14ac:dyDescent="0.25"/>
  <cols>
    <col min="1" max="1" width="3.26953125" style="1" customWidth="1"/>
    <col min="2" max="2" width="63.7265625" style="1" customWidth="1"/>
    <col min="3" max="3" width="15.81640625" style="1" customWidth="1"/>
    <col min="4" max="4" width="28.453125" style="1" customWidth="1"/>
    <col min="5" max="5" width="16.7265625" style="1" customWidth="1"/>
    <col min="6" max="6" width="18.453125" style="1" customWidth="1"/>
    <col min="7" max="7" width="15.81640625" style="1" customWidth="1"/>
    <col min="8" max="8" width="11.7265625" style="1" customWidth="1"/>
    <col min="9" max="9" width="10.7265625" style="1" customWidth="1"/>
    <col min="10" max="16384" width="9.1796875" style="1"/>
  </cols>
  <sheetData>
    <row r="1" spans="1:9" ht="16" customHeight="1" x14ac:dyDescent="0.25">
      <c r="A1" s="122"/>
      <c r="B1" s="161" t="s">
        <v>603</v>
      </c>
      <c r="C1" s="122"/>
      <c r="D1" s="122"/>
      <c r="E1" s="122"/>
      <c r="F1" s="122"/>
      <c r="G1" s="122"/>
      <c r="H1" s="122"/>
      <c r="I1" s="122"/>
    </row>
    <row r="2" spans="1:9" ht="13" customHeight="1" x14ac:dyDescent="0.25">
      <c r="A2" s="122"/>
      <c r="B2" s="160"/>
      <c r="C2" s="122"/>
      <c r="D2" s="122"/>
      <c r="E2" s="122"/>
      <c r="F2" s="122"/>
      <c r="G2" s="122"/>
      <c r="H2" s="122"/>
      <c r="I2" s="122"/>
    </row>
    <row r="3" spans="1:9" ht="13" customHeight="1" x14ac:dyDescent="0.25">
      <c r="A3" s="119" t="s">
        <v>602</v>
      </c>
      <c r="B3" s="145" t="s">
        <v>601</v>
      </c>
      <c r="C3" s="122"/>
      <c r="D3" s="122"/>
      <c r="E3" s="122"/>
      <c r="F3" s="122"/>
      <c r="G3" s="122"/>
      <c r="H3" s="122"/>
      <c r="I3" s="122"/>
    </row>
    <row r="4" spans="1:9" ht="28" customHeight="1" x14ac:dyDescent="0.25">
      <c r="A4" s="122"/>
      <c r="B4" s="159" t="s">
        <v>229</v>
      </c>
      <c r="C4" s="158" t="s">
        <v>600</v>
      </c>
      <c r="D4" s="157" t="s">
        <v>599</v>
      </c>
      <c r="E4" s="157" t="s">
        <v>227</v>
      </c>
      <c r="F4" s="157" t="s">
        <v>598</v>
      </c>
      <c r="G4" s="157" t="s">
        <v>597</v>
      </c>
      <c r="H4" s="157" t="s">
        <v>596</v>
      </c>
      <c r="I4" s="156" t="s">
        <v>595</v>
      </c>
    </row>
    <row r="5" spans="1:9" ht="13" customHeight="1" x14ac:dyDescent="0.25">
      <c r="A5" s="122"/>
      <c r="B5" s="140" t="s">
        <v>594</v>
      </c>
      <c r="C5" s="136"/>
      <c r="D5" s="136"/>
      <c r="E5" s="136"/>
      <c r="F5" s="136"/>
      <c r="G5" s="136"/>
      <c r="H5" s="139"/>
      <c r="I5" s="133"/>
    </row>
    <row r="6" spans="1:9" ht="13" customHeight="1" x14ac:dyDescent="0.25">
      <c r="A6" s="122"/>
      <c r="B6" s="140" t="s">
        <v>407</v>
      </c>
      <c r="C6" s="136"/>
      <c r="D6" s="136"/>
      <c r="E6" s="136"/>
      <c r="F6" s="122"/>
      <c r="G6" s="139"/>
      <c r="H6" s="139"/>
      <c r="I6" s="133"/>
    </row>
    <row r="7" spans="1:9" ht="13" customHeight="1" x14ac:dyDescent="0.25">
      <c r="A7" s="138" t="s">
        <v>593</v>
      </c>
      <c r="B7" s="137" t="s">
        <v>592</v>
      </c>
      <c r="C7" s="136" t="s">
        <v>591</v>
      </c>
      <c r="D7" s="136" t="s">
        <v>436</v>
      </c>
      <c r="E7" s="155">
        <v>158729224</v>
      </c>
      <c r="F7" s="135">
        <v>1125390.2</v>
      </c>
      <c r="G7" s="134">
        <v>7.6300000000000007E-2</v>
      </c>
      <c r="H7" s="139"/>
      <c r="I7" s="133"/>
    </row>
    <row r="8" spans="1:9" ht="13" customHeight="1" x14ac:dyDescent="0.25">
      <c r="A8" s="138" t="s">
        <v>590</v>
      </c>
      <c r="B8" s="137" t="s">
        <v>589</v>
      </c>
      <c r="C8" s="136" t="s">
        <v>588</v>
      </c>
      <c r="D8" s="136" t="s">
        <v>436</v>
      </c>
      <c r="E8" s="155">
        <v>57517280</v>
      </c>
      <c r="F8" s="135">
        <v>836301.25</v>
      </c>
      <c r="G8" s="134">
        <v>5.67E-2</v>
      </c>
      <c r="H8" s="139"/>
      <c r="I8" s="133"/>
    </row>
    <row r="9" spans="1:9" ht="13" customHeight="1" x14ac:dyDescent="0.25">
      <c r="A9" s="138" t="s">
        <v>587</v>
      </c>
      <c r="B9" s="137" t="s">
        <v>45</v>
      </c>
      <c r="C9" s="136" t="s">
        <v>586</v>
      </c>
      <c r="D9" s="136" t="s">
        <v>421</v>
      </c>
      <c r="E9" s="155">
        <v>312022782</v>
      </c>
      <c r="F9" s="135">
        <v>822336.04</v>
      </c>
      <c r="G9" s="134">
        <v>5.5800000000000002E-2</v>
      </c>
      <c r="H9" s="139"/>
      <c r="I9" s="133"/>
    </row>
    <row r="10" spans="1:9" ht="13" customHeight="1" x14ac:dyDescent="0.25">
      <c r="A10" s="138" t="s">
        <v>585</v>
      </c>
      <c r="B10" s="137" t="s">
        <v>584</v>
      </c>
      <c r="C10" s="136" t="s">
        <v>583</v>
      </c>
      <c r="D10" s="136" t="s">
        <v>455</v>
      </c>
      <c r="E10" s="155">
        <v>303340607</v>
      </c>
      <c r="F10" s="135">
        <v>775035.25</v>
      </c>
      <c r="G10" s="134">
        <v>5.2600000000000001E-2</v>
      </c>
      <c r="H10" s="139"/>
      <c r="I10" s="133"/>
    </row>
    <row r="11" spans="1:9" ht="13" customHeight="1" x14ac:dyDescent="0.25">
      <c r="A11" s="138" t="s">
        <v>582</v>
      </c>
      <c r="B11" s="137" t="s">
        <v>581</v>
      </c>
      <c r="C11" s="136" t="s">
        <v>580</v>
      </c>
      <c r="D11" s="136" t="s">
        <v>439</v>
      </c>
      <c r="E11" s="155">
        <v>6502156</v>
      </c>
      <c r="F11" s="135">
        <v>757111.04</v>
      </c>
      <c r="G11" s="134">
        <v>5.1400000000000001E-2</v>
      </c>
      <c r="H11" s="139"/>
      <c r="I11" s="133"/>
    </row>
    <row r="12" spans="1:9" ht="13" customHeight="1" x14ac:dyDescent="0.25">
      <c r="A12" s="138" t="s">
        <v>579</v>
      </c>
      <c r="B12" s="137" t="s">
        <v>49</v>
      </c>
      <c r="C12" s="136" t="s">
        <v>578</v>
      </c>
      <c r="D12" s="136" t="s">
        <v>577</v>
      </c>
      <c r="E12" s="155">
        <v>184059455</v>
      </c>
      <c r="F12" s="135">
        <v>739458.86</v>
      </c>
      <c r="G12" s="134">
        <v>5.0200000000000002E-2</v>
      </c>
      <c r="H12" s="139"/>
      <c r="I12" s="133"/>
    </row>
    <row r="13" spans="1:9" ht="13" customHeight="1" x14ac:dyDescent="0.25">
      <c r="A13" s="138" t="s">
        <v>576</v>
      </c>
      <c r="B13" s="137" t="s">
        <v>575</v>
      </c>
      <c r="C13" s="136" t="s">
        <v>574</v>
      </c>
      <c r="D13" s="136" t="s">
        <v>436</v>
      </c>
      <c r="E13" s="155">
        <v>154614519</v>
      </c>
      <c r="F13" s="135">
        <v>648453.29</v>
      </c>
      <c r="G13" s="134">
        <v>4.3999999999999997E-2</v>
      </c>
      <c r="H13" s="139"/>
      <c r="I13" s="133"/>
    </row>
    <row r="14" spans="1:9" ht="13" customHeight="1" x14ac:dyDescent="0.25">
      <c r="A14" s="138" t="s">
        <v>573</v>
      </c>
      <c r="B14" s="137" t="s">
        <v>572</v>
      </c>
      <c r="C14" s="136" t="s">
        <v>571</v>
      </c>
      <c r="D14" s="136" t="s">
        <v>559</v>
      </c>
      <c r="E14" s="155">
        <v>46663705</v>
      </c>
      <c r="F14" s="135">
        <v>612321.14</v>
      </c>
      <c r="G14" s="134">
        <v>4.1500000000000002E-2</v>
      </c>
      <c r="H14" s="139"/>
      <c r="I14" s="133"/>
    </row>
    <row r="15" spans="1:9" ht="13" customHeight="1" x14ac:dyDescent="0.25">
      <c r="A15" s="138" t="s">
        <v>570</v>
      </c>
      <c r="B15" s="137" t="s">
        <v>47</v>
      </c>
      <c r="C15" s="136" t="s">
        <v>569</v>
      </c>
      <c r="D15" s="136" t="s">
        <v>442</v>
      </c>
      <c r="E15" s="155">
        <v>17844840</v>
      </c>
      <c r="F15" s="135">
        <v>585667.65</v>
      </c>
      <c r="G15" s="134">
        <v>3.9699999999999999E-2</v>
      </c>
      <c r="H15" s="139"/>
      <c r="I15" s="133"/>
    </row>
    <row r="16" spans="1:9" ht="13" customHeight="1" x14ac:dyDescent="0.25">
      <c r="A16" s="138" t="s">
        <v>568</v>
      </c>
      <c r="B16" s="137" t="s">
        <v>567</v>
      </c>
      <c r="C16" s="136" t="s">
        <v>566</v>
      </c>
      <c r="D16" s="136" t="s">
        <v>559</v>
      </c>
      <c r="E16" s="155">
        <v>42739573</v>
      </c>
      <c r="F16" s="135">
        <v>484581.28</v>
      </c>
      <c r="G16" s="134">
        <v>3.2899999999999999E-2</v>
      </c>
      <c r="H16" s="139"/>
      <c r="I16" s="133"/>
    </row>
    <row r="17" spans="1:9" ht="13" customHeight="1" x14ac:dyDescent="0.25">
      <c r="A17" s="138" t="s">
        <v>565</v>
      </c>
      <c r="B17" s="137" t="s">
        <v>564</v>
      </c>
      <c r="C17" s="136" t="s">
        <v>563</v>
      </c>
      <c r="D17" s="136" t="s">
        <v>436</v>
      </c>
      <c r="E17" s="155">
        <v>33672018</v>
      </c>
      <c r="F17" s="135">
        <v>437736.23</v>
      </c>
      <c r="G17" s="134">
        <v>2.9700000000000001E-2</v>
      </c>
      <c r="H17" s="139"/>
      <c r="I17" s="133"/>
    </row>
    <row r="18" spans="1:9" ht="13" customHeight="1" x14ac:dyDescent="0.25">
      <c r="A18" s="138" t="s">
        <v>562</v>
      </c>
      <c r="B18" s="137" t="s">
        <v>561</v>
      </c>
      <c r="C18" s="136" t="s">
        <v>560</v>
      </c>
      <c r="D18" s="136" t="s">
        <v>559</v>
      </c>
      <c r="E18" s="155">
        <v>17700807</v>
      </c>
      <c r="F18" s="135">
        <v>424695.46</v>
      </c>
      <c r="G18" s="134">
        <v>2.8799999999999999E-2</v>
      </c>
      <c r="H18" s="139"/>
      <c r="I18" s="133"/>
    </row>
    <row r="19" spans="1:9" ht="13" customHeight="1" x14ac:dyDescent="0.25">
      <c r="A19" s="138" t="s">
        <v>558</v>
      </c>
      <c r="B19" s="137" t="s">
        <v>557</v>
      </c>
      <c r="C19" s="136" t="s">
        <v>556</v>
      </c>
      <c r="D19" s="136" t="s">
        <v>495</v>
      </c>
      <c r="E19" s="155">
        <v>22772058</v>
      </c>
      <c r="F19" s="135">
        <v>412606.92</v>
      </c>
      <c r="G19" s="134">
        <v>2.8000000000000001E-2</v>
      </c>
      <c r="H19" s="139"/>
      <c r="I19" s="133"/>
    </row>
    <row r="20" spans="1:9" ht="13" customHeight="1" x14ac:dyDescent="0.25">
      <c r="A20" s="138" t="s">
        <v>555</v>
      </c>
      <c r="B20" s="137" t="s">
        <v>46</v>
      </c>
      <c r="C20" s="136" t="s">
        <v>554</v>
      </c>
      <c r="D20" s="136" t="s">
        <v>442</v>
      </c>
      <c r="E20" s="155">
        <v>2913495</v>
      </c>
      <c r="F20" s="135">
        <v>394691.17</v>
      </c>
      <c r="G20" s="134">
        <v>2.6800000000000001E-2</v>
      </c>
      <c r="H20" s="139"/>
      <c r="I20" s="133"/>
    </row>
    <row r="21" spans="1:9" ht="13" customHeight="1" x14ac:dyDescent="0.25">
      <c r="A21" s="138" t="s">
        <v>553</v>
      </c>
      <c r="B21" s="137" t="s">
        <v>552</v>
      </c>
      <c r="C21" s="136" t="s">
        <v>551</v>
      </c>
      <c r="D21" s="136" t="s">
        <v>424</v>
      </c>
      <c r="E21" s="155">
        <v>19262784</v>
      </c>
      <c r="F21" s="135">
        <v>223698.71</v>
      </c>
      <c r="G21" s="134">
        <v>1.52E-2</v>
      </c>
      <c r="H21" s="139"/>
      <c r="I21" s="133"/>
    </row>
    <row r="22" spans="1:9" ht="13" customHeight="1" x14ac:dyDescent="0.25">
      <c r="A22" s="138" t="s">
        <v>550</v>
      </c>
      <c r="B22" s="137" t="s">
        <v>50</v>
      </c>
      <c r="C22" s="136" t="s">
        <v>549</v>
      </c>
      <c r="D22" s="136" t="s">
        <v>424</v>
      </c>
      <c r="E22" s="155">
        <v>14351629</v>
      </c>
      <c r="F22" s="135">
        <v>202243.16</v>
      </c>
      <c r="G22" s="134">
        <v>1.37E-2</v>
      </c>
      <c r="H22" s="139"/>
      <c r="I22" s="133"/>
    </row>
    <row r="23" spans="1:9" ht="13" customHeight="1" x14ac:dyDescent="0.25">
      <c r="A23" s="138" t="s">
        <v>548</v>
      </c>
      <c r="B23" s="137" t="s">
        <v>547</v>
      </c>
      <c r="C23" s="136" t="s">
        <v>546</v>
      </c>
      <c r="D23" s="136" t="s">
        <v>520</v>
      </c>
      <c r="E23" s="155">
        <v>115020055</v>
      </c>
      <c r="F23" s="135">
        <v>173093.68</v>
      </c>
      <c r="G23" s="134">
        <v>1.17E-2</v>
      </c>
      <c r="H23" s="139"/>
      <c r="I23" s="133"/>
    </row>
    <row r="24" spans="1:9" ht="13" customHeight="1" x14ac:dyDescent="0.25">
      <c r="A24" s="138" t="s">
        <v>545</v>
      </c>
      <c r="B24" s="137" t="s">
        <v>48</v>
      </c>
      <c r="C24" s="136" t="s">
        <v>544</v>
      </c>
      <c r="D24" s="136" t="s">
        <v>424</v>
      </c>
      <c r="E24" s="155">
        <v>14299581</v>
      </c>
      <c r="F24" s="135">
        <v>165074.35999999999</v>
      </c>
      <c r="G24" s="134">
        <v>1.12E-2</v>
      </c>
      <c r="H24" s="139"/>
      <c r="I24" s="133"/>
    </row>
    <row r="25" spans="1:9" ht="13" customHeight="1" x14ac:dyDescent="0.25">
      <c r="A25" s="138" t="s">
        <v>543</v>
      </c>
      <c r="B25" s="137" t="s">
        <v>542</v>
      </c>
      <c r="C25" s="136" t="s">
        <v>541</v>
      </c>
      <c r="D25" s="136" t="s">
        <v>531</v>
      </c>
      <c r="E25" s="155">
        <v>22157154</v>
      </c>
      <c r="F25" s="135">
        <v>117521.54</v>
      </c>
      <c r="G25" s="134">
        <v>8.0000000000000002E-3</v>
      </c>
      <c r="H25" s="139"/>
      <c r="I25" s="133"/>
    </row>
    <row r="26" spans="1:9" ht="13" customHeight="1" x14ac:dyDescent="0.25">
      <c r="A26" s="138" t="s">
        <v>540</v>
      </c>
      <c r="B26" s="137" t="s">
        <v>539</v>
      </c>
      <c r="C26" s="136" t="s">
        <v>538</v>
      </c>
      <c r="D26" s="136" t="s">
        <v>499</v>
      </c>
      <c r="E26" s="155">
        <v>84096110</v>
      </c>
      <c r="F26" s="135">
        <v>101335.81</v>
      </c>
      <c r="G26" s="134">
        <v>6.8999999999999999E-3</v>
      </c>
      <c r="H26" s="139"/>
      <c r="I26" s="133"/>
    </row>
    <row r="27" spans="1:9" ht="13" customHeight="1" x14ac:dyDescent="0.25">
      <c r="A27" s="138" t="s">
        <v>537</v>
      </c>
      <c r="B27" s="137" t="s">
        <v>536</v>
      </c>
      <c r="C27" s="136" t="s">
        <v>535</v>
      </c>
      <c r="D27" s="136" t="s">
        <v>410</v>
      </c>
      <c r="E27" s="155">
        <v>13709808</v>
      </c>
      <c r="F27" s="135">
        <v>94741.63</v>
      </c>
      <c r="G27" s="134">
        <v>6.4000000000000003E-3</v>
      </c>
      <c r="H27" s="139"/>
      <c r="I27" s="133"/>
    </row>
    <row r="28" spans="1:9" ht="13" customHeight="1" x14ac:dyDescent="0.25">
      <c r="A28" s="138" t="s">
        <v>534</v>
      </c>
      <c r="B28" s="137" t="s">
        <v>533</v>
      </c>
      <c r="C28" s="136" t="s">
        <v>532</v>
      </c>
      <c r="D28" s="136" t="s">
        <v>531</v>
      </c>
      <c r="E28" s="155">
        <v>10537979</v>
      </c>
      <c r="F28" s="135">
        <v>84240.6</v>
      </c>
      <c r="G28" s="134">
        <v>5.7000000000000002E-3</v>
      </c>
      <c r="H28" s="139"/>
      <c r="I28" s="133"/>
    </row>
    <row r="29" spans="1:9" ht="13" customHeight="1" x14ac:dyDescent="0.25">
      <c r="A29" s="138" t="s">
        <v>530</v>
      </c>
      <c r="B29" s="137" t="s">
        <v>529</v>
      </c>
      <c r="C29" s="136" t="s">
        <v>528</v>
      </c>
      <c r="D29" s="136" t="s">
        <v>520</v>
      </c>
      <c r="E29" s="155">
        <v>23403868</v>
      </c>
      <c r="F29" s="135">
        <v>70352.03</v>
      </c>
      <c r="G29" s="134">
        <v>4.7999999999999996E-3</v>
      </c>
      <c r="H29" s="139"/>
      <c r="I29" s="133"/>
    </row>
    <row r="30" spans="1:9" ht="13" customHeight="1" x14ac:dyDescent="0.25">
      <c r="A30" s="138" t="s">
        <v>527</v>
      </c>
      <c r="B30" s="137" t="s">
        <v>526</v>
      </c>
      <c r="C30" s="136" t="s">
        <v>525</v>
      </c>
      <c r="D30" s="136" t="s">
        <v>524</v>
      </c>
      <c r="E30" s="155">
        <v>1995914</v>
      </c>
      <c r="F30" s="135">
        <v>38066.07</v>
      </c>
      <c r="G30" s="134">
        <v>2.5999999999999999E-3</v>
      </c>
      <c r="H30" s="139"/>
      <c r="I30" s="133"/>
    </row>
    <row r="31" spans="1:9" ht="13" customHeight="1" x14ac:dyDescent="0.25">
      <c r="A31" s="138" t="s">
        <v>523</v>
      </c>
      <c r="B31" s="137" t="s">
        <v>522</v>
      </c>
      <c r="C31" s="136" t="s">
        <v>521</v>
      </c>
      <c r="D31" s="136" t="s">
        <v>520</v>
      </c>
      <c r="E31" s="155">
        <v>3439028</v>
      </c>
      <c r="F31" s="135">
        <v>36773.53</v>
      </c>
      <c r="G31" s="134">
        <v>2.5000000000000001E-3</v>
      </c>
      <c r="H31" s="139"/>
      <c r="I31" s="133"/>
    </row>
    <row r="32" spans="1:9" ht="13" customHeight="1" x14ac:dyDescent="0.25">
      <c r="A32" s="138" t="s">
        <v>519</v>
      </c>
      <c r="B32" s="137" t="s">
        <v>518</v>
      </c>
      <c r="C32" s="136" t="s">
        <v>517</v>
      </c>
      <c r="D32" s="136" t="s">
        <v>499</v>
      </c>
      <c r="E32" s="155">
        <v>2264603</v>
      </c>
      <c r="F32" s="135">
        <v>31761.06</v>
      </c>
      <c r="G32" s="134">
        <v>2.2000000000000001E-3</v>
      </c>
      <c r="H32" s="139"/>
      <c r="I32" s="133"/>
    </row>
    <row r="33" spans="1:9" ht="13" customHeight="1" x14ac:dyDescent="0.25">
      <c r="A33" s="138" t="s">
        <v>516</v>
      </c>
      <c r="B33" s="137" t="s">
        <v>515</v>
      </c>
      <c r="C33" s="136" t="s">
        <v>514</v>
      </c>
      <c r="D33" s="136" t="s">
        <v>491</v>
      </c>
      <c r="E33" s="155">
        <v>9696747</v>
      </c>
      <c r="F33" s="135">
        <v>23621.279999999999</v>
      </c>
      <c r="G33" s="134">
        <v>1.6000000000000001E-3</v>
      </c>
      <c r="H33" s="139"/>
      <c r="I33" s="133"/>
    </row>
    <row r="34" spans="1:9" ht="13" customHeight="1" x14ac:dyDescent="0.25">
      <c r="A34" s="138" t="s">
        <v>513</v>
      </c>
      <c r="B34" s="137" t="s">
        <v>512</v>
      </c>
      <c r="C34" s="136" t="s">
        <v>511</v>
      </c>
      <c r="D34" s="136" t="s">
        <v>510</v>
      </c>
      <c r="E34" s="155">
        <v>5898213</v>
      </c>
      <c r="F34" s="135">
        <v>23064.959999999999</v>
      </c>
      <c r="G34" s="134">
        <v>1.6000000000000001E-3</v>
      </c>
      <c r="H34" s="139"/>
      <c r="I34" s="133"/>
    </row>
    <row r="35" spans="1:9" ht="13" customHeight="1" x14ac:dyDescent="0.25">
      <c r="A35" s="138" t="s">
        <v>509</v>
      </c>
      <c r="B35" s="137" t="s">
        <v>508</v>
      </c>
      <c r="C35" s="136" t="s">
        <v>507</v>
      </c>
      <c r="D35" s="136" t="s">
        <v>506</v>
      </c>
      <c r="E35" s="155">
        <v>1273951</v>
      </c>
      <c r="F35" s="135">
        <v>16584.29</v>
      </c>
      <c r="G35" s="134">
        <v>1.1000000000000001E-3</v>
      </c>
      <c r="H35" s="139"/>
      <c r="I35" s="133"/>
    </row>
    <row r="36" spans="1:9" ht="13" customHeight="1" x14ac:dyDescent="0.25">
      <c r="A36" s="138" t="s">
        <v>505</v>
      </c>
      <c r="B36" s="137" t="s">
        <v>504</v>
      </c>
      <c r="C36" s="136" t="s">
        <v>503</v>
      </c>
      <c r="D36" s="136" t="s">
        <v>439</v>
      </c>
      <c r="E36" s="155">
        <v>110438</v>
      </c>
      <c r="F36" s="135">
        <v>15101.29</v>
      </c>
      <c r="G36" s="134">
        <v>1E-3</v>
      </c>
      <c r="H36" s="139"/>
      <c r="I36" s="133"/>
    </row>
    <row r="37" spans="1:9" ht="13" customHeight="1" x14ac:dyDescent="0.25">
      <c r="A37" s="138" t="s">
        <v>502</v>
      </c>
      <c r="B37" s="137" t="s">
        <v>501</v>
      </c>
      <c r="C37" s="136" t="s">
        <v>500</v>
      </c>
      <c r="D37" s="136" t="s">
        <v>499</v>
      </c>
      <c r="E37" s="155">
        <v>287393</v>
      </c>
      <c r="F37" s="135">
        <v>14129.39</v>
      </c>
      <c r="G37" s="134">
        <v>1E-3</v>
      </c>
      <c r="H37" s="139"/>
      <c r="I37" s="133"/>
    </row>
    <row r="38" spans="1:9" ht="13" customHeight="1" x14ac:dyDescent="0.25">
      <c r="A38" s="138" t="s">
        <v>498</v>
      </c>
      <c r="B38" s="137" t="s">
        <v>497</v>
      </c>
      <c r="C38" s="136" t="s">
        <v>496</v>
      </c>
      <c r="D38" s="136" t="s">
        <v>495</v>
      </c>
      <c r="E38" s="155">
        <v>865823</v>
      </c>
      <c r="F38" s="135">
        <v>3366.32</v>
      </c>
      <c r="G38" s="134">
        <v>2.0000000000000001E-4</v>
      </c>
      <c r="H38" s="139"/>
      <c r="I38" s="133"/>
    </row>
    <row r="39" spans="1:9" ht="13" customHeight="1" x14ac:dyDescent="0.25">
      <c r="A39" s="138" t="s">
        <v>494</v>
      </c>
      <c r="B39" s="137" t="s">
        <v>493</v>
      </c>
      <c r="C39" s="136" t="s">
        <v>492</v>
      </c>
      <c r="D39" s="136" t="s">
        <v>491</v>
      </c>
      <c r="E39" s="155">
        <v>193994</v>
      </c>
      <c r="F39" s="135">
        <v>2019.28</v>
      </c>
      <c r="G39" s="134">
        <v>1E-4</v>
      </c>
      <c r="H39" s="139"/>
      <c r="I39" s="133"/>
    </row>
    <row r="40" spans="1:9" ht="13" customHeight="1" x14ac:dyDescent="0.25">
      <c r="A40" s="138" t="s">
        <v>490</v>
      </c>
      <c r="B40" s="137" t="s">
        <v>489</v>
      </c>
      <c r="C40" s="136" t="s">
        <v>488</v>
      </c>
      <c r="D40" s="136" t="s">
        <v>487</v>
      </c>
      <c r="E40" s="155">
        <v>47293</v>
      </c>
      <c r="F40" s="135">
        <v>1688.03</v>
      </c>
      <c r="G40" s="134">
        <v>1E-4</v>
      </c>
      <c r="H40" s="139"/>
      <c r="I40" s="133"/>
    </row>
    <row r="41" spans="1:9" ht="13" customHeight="1" x14ac:dyDescent="0.25">
      <c r="A41" s="122"/>
      <c r="B41" s="132" t="s">
        <v>141</v>
      </c>
      <c r="C41" s="131"/>
      <c r="D41" s="131"/>
      <c r="E41" s="131"/>
      <c r="F41" s="130">
        <f>SUM(F7:F40)</f>
        <v>10494862.799999999</v>
      </c>
      <c r="G41" s="129">
        <f>SUM(G7:G40)</f>
        <v>0.7120000000000003</v>
      </c>
      <c r="H41" s="151"/>
      <c r="I41" s="128"/>
    </row>
    <row r="42" spans="1:9" ht="13" customHeight="1" x14ac:dyDescent="0.25">
      <c r="A42" s="122"/>
      <c r="B42" s="140" t="s">
        <v>486</v>
      </c>
      <c r="C42" s="136"/>
      <c r="D42" s="136"/>
      <c r="E42" s="136"/>
      <c r="F42" s="122"/>
      <c r="G42" s="139"/>
      <c r="H42" s="139"/>
      <c r="I42" s="133"/>
    </row>
    <row r="43" spans="1:9" ht="13" customHeight="1" x14ac:dyDescent="0.25">
      <c r="A43" s="138" t="s">
        <v>485</v>
      </c>
      <c r="B43" s="137" t="s">
        <v>98</v>
      </c>
      <c r="C43" s="136" t="s">
        <v>484</v>
      </c>
      <c r="D43" s="136" t="s">
        <v>439</v>
      </c>
      <c r="E43" s="155">
        <v>5340000</v>
      </c>
      <c r="F43" s="135">
        <v>56443.8</v>
      </c>
      <c r="G43" s="134">
        <v>3.8E-3</v>
      </c>
      <c r="H43" s="139"/>
      <c r="I43" s="133"/>
    </row>
    <row r="44" spans="1:9" ht="13" customHeight="1" x14ac:dyDescent="0.25">
      <c r="A44" s="138" t="s">
        <v>483</v>
      </c>
      <c r="B44" s="137" t="s">
        <v>82</v>
      </c>
      <c r="C44" s="136" t="s">
        <v>482</v>
      </c>
      <c r="D44" s="136" t="s">
        <v>481</v>
      </c>
      <c r="E44" s="155">
        <v>4061000</v>
      </c>
      <c r="F44" s="135">
        <v>51858.97</v>
      </c>
      <c r="G44" s="134">
        <v>3.5000000000000001E-3</v>
      </c>
      <c r="H44" s="139"/>
      <c r="I44" s="133"/>
    </row>
    <row r="45" spans="1:9" ht="13" customHeight="1" x14ac:dyDescent="0.25">
      <c r="A45" s="138" t="s">
        <v>480</v>
      </c>
      <c r="B45" s="137" t="s">
        <v>79</v>
      </c>
      <c r="C45" s="136" t="s">
        <v>479</v>
      </c>
      <c r="D45" s="136" t="s">
        <v>424</v>
      </c>
      <c r="E45" s="155">
        <v>933450</v>
      </c>
      <c r="F45" s="135">
        <v>18527.12</v>
      </c>
      <c r="G45" s="134">
        <v>1.2999999999999999E-3</v>
      </c>
      <c r="H45" s="139"/>
      <c r="I45" s="133"/>
    </row>
    <row r="46" spans="1:9" ht="13" customHeight="1" x14ac:dyDescent="0.25">
      <c r="A46" s="138" t="s">
        <v>478</v>
      </c>
      <c r="B46" s="137" t="s">
        <v>76</v>
      </c>
      <c r="C46" s="136" t="s">
        <v>477</v>
      </c>
      <c r="D46" s="136" t="s">
        <v>476</v>
      </c>
      <c r="E46" s="155">
        <v>324450</v>
      </c>
      <c r="F46" s="135">
        <v>16554.740000000002</v>
      </c>
      <c r="G46" s="134">
        <v>1.1000000000000001E-3</v>
      </c>
      <c r="H46" s="139"/>
      <c r="I46" s="133"/>
    </row>
    <row r="47" spans="1:9" ht="13" customHeight="1" x14ac:dyDescent="0.25">
      <c r="A47" s="138" t="s">
        <v>475</v>
      </c>
      <c r="B47" s="137" t="s">
        <v>91</v>
      </c>
      <c r="C47" s="136" t="s">
        <v>474</v>
      </c>
      <c r="D47" s="136" t="s">
        <v>452</v>
      </c>
      <c r="E47" s="155">
        <v>321600</v>
      </c>
      <c r="F47" s="135">
        <v>15441.95</v>
      </c>
      <c r="G47" s="134">
        <v>1E-3</v>
      </c>
      <c r="H47" s="139"/>
      <c r="I47" s="133"/>
    </row>
    <row r="48" spans="1:9" ht="13" customHeight="1" x14ac:dyDescent="0.25">
      <c r="A48" s="138" t="s">
        <v>473</v>
      </c>
      <c r="B48" s="137" t="s">
        <v>95</v>
      </c>
      <c r="C48" s="136" t="s">
        <v>472</v>
      </c>
      <c r="D48" s="136" t="s">
        <v>436</v>
      </c>
      <c r="E48" s="155">
        <v>11130750</v>
      </c>
      <c r="F48" s="135">
        <v>14124.92</v>
      </c>
      <c r="G48" s="134">
        <v>1E-3</v>
      </c>
      <c r="H48" s="139"/>
      <c r="I48" s="133"/>
    </row>
    <row r="49" spans="1:9" ht="13" customHeight="1" x14ac:dyDescent="0.25">
      <c r="A49" s="138" t="s">
        <v>471</v>
      </c>
      <c r="B49" s="137" t="s">
        <v>80</v>
      </c>
      <c r="C49" s="136" t="s">
        <v>470</v>
      </c>
      <c r="D49" s="136" t="s">
        <v>436</v>
      </c>
      <c r="E49" s="155">
        <v>1233000</v>
      </c>
      <c r="F49" s="135">
        <v>13069.8</v>
      </c>
      <c r="G49" s="134">
        <v>8.9999999999999998E-4</v>
      </c>
      <c r="H49" s="139"/>
      <c r="I49" s="133"/>
    </row>
    <row r="50" spans="1:9" ht="13" customHeight="1" x14ac:dyDescent="0.25">
      <c r="A50" s="138" t="s">
        <v>469</v>
      </c>
      <c r="B50" s="137" t="s">
        <v>94</v>
      </c>
      <c r="C50" s="136" t="s">
        <v>468</v>
      </c>
      <c r="D50" s="136" t="s">
        <v>424</v>
      </c>
      <c r="E50" s="155">
        <v>135900</v>
      </c>
      <c r="F50" s="135">
        <v>12865.65</v>
      </c>
      <c r="G50" s="134">
        <v>8.9999999999999998E-4</v>
      </c>
      <c r="H50" s="139"/>
      <c r="I50" s="133"/>
    </row>
    <row r="51" spans="1:9" ht="13" customHeight="1" x14ac:dyDescent="0.25">
      <c r="A51" s="138" t="s">
        <v>467</v>
      </c>
      <c r="B51" s="137" t="s">
        <v>74</v>
      </c>
      <c r="C51" s="136" t="s">
        <v>466</v>
      </c>
      <c r="D51" s="136" t="s">
        <v>449</v>
      </c>
      <c r="E51" s="155">
        <v>112250</v>
      </c>
      <c r="F51" s="135">
        <v>12852.63</v>
      </c>
      <c r="G51" s="134">
        <v>8.9999999999999998E-4</v>
      </c>
      <c r="H51" s="139"/>
      <c r="I51" s="133"/>
    </row>
    <row r="52" spans="1:9" ht="13" customHeight="1" x14ac:dyDescent="0.25">
      <c r="A52" s="138" t="s">
        <v>465</v>
      </c>
      <c r="B52" s="137" t="s">
        <v>90</v>
      </c>
      <c r="C52" s="136" t="s">
        <v>464</v>
      </c>
      <c r="D52" s="136" t="s">
        <v>463</v>
      </c>
      <c r="E52" s="155">
        <v>846300</v>
      </c>
      <c r="F52" s="135">
        <v>8593.75</v>
      </c>
      <c r="G52" s="134">
        <v>5.9999999999999995E-4</v>
      </c>
      <c r="H52" s="139"/>
      <c r="I52" s="133"/>
    </row>
    <row r="53" spans="1:9" ht="13" customHeight="1" x14ac:dyDescent="0.25">
      <c r="A53" s="138" t="s">
        <v>462</v>
      </c>
      <c r="B53" s="137" t="s">
        <v>83</v>
      </c>
      <c r="C53" s="136" t="s">
        <v>461</v>
      </c>
      <c r="D53" s="136" t="s">
        <v>460</v>
      </c>
      <c r="E53" s="155">
        <v>3334500</v>
      </c>
      <c r="F53" s="135">
        <v>7729.37</v>
      </c>
      <c r="G53" s="134">
        <v>5.0000000000000001E-4</v>
      </c>
      <c r="H53" s="139"/>
      <c r="I53" s="133"/>
    </row>
    <row r="54" spans="1:9" ht="13" customHeight="1" x14ac:dyDescent="0.25">
      <c r="A54" s="138" t="s">
        <v>459</v>
      </c>
      <c r="B54" s="137" t="s">
        <v>78</v>
      </c>
      <c r="C54" s="136" t="s">
        <v>458</v>
      </c>
      <c r="D54" s="136" t="s">
        <v>430</v>
      </c>
      <c r="E54" s="155">
        <v>3660250</v>
      </c>
      <c r="F54" s="135">
        <v>6747.67</v>
      </c>
      <c r="G54" s="134">
        <v>5.0000000000000001E-4</v>
      </c>
      <c r="H54" s="139"/>
      <c r="I54" s="133"/>
    </row>
    <row r="55" spans="1:9" ht="13" customHeight="1" x14ac:dyDescent="0.25">
      <c r="A55" s="138" t="s">
        <v>457</v>
      </c>
      <c r="B55" s="137" t="s">
        <v>89</v>
      </c>
      <c r="C55" s="136" t="s">
        <v>456</v>
      </c>
      <c r="D55" s="136" t="s">
        <v>455</v>
      </c>
      <c r="E55" s="155">
        <v>316500</v>
      </c>
      <c r="F55" s="135">
        <v>6226.82</v>
      </c>
      <c r="G55" s="134">
        <v>4.0000000000000002E-4</v>
      </c>
      <c r="H55" s="139"/>
      <c r="I55" s="133"/>
    </row>
    <row r="56" spans="1:9" ht="13" customHeight="1" x14ac:dyDescent="0.25">
      <c r="A56" s="138" t="s">
        <v>454</v>
      </c>
      <c r="B56" s="137" t="s">
        <v>96</v>
      </c>
      <c r="C56" s="136" t="s">
        <v>453</v>
      </c>
      <c r="D56" s="136" t="s">
        <v>452</v>
      </c>
      <c r="E56" s="155">
        <v>1484850</v>
      </c>
      <c r="F56" s="135">
        <v>6153.96</v>
      </c>
      <c r="G56" s="134">
        <v>4.0000000000000002E-4</v>
      </c>
      <c r="H56" s="139"/>
      <c r="I56" s="133"/>
    </row>
    <row r="57" spans="1:9" ht="13" customHeight="1" x14ac:dyDescent="0.25">
      <c r="A57" s="138" t="s">
        <v>451</v>
      </c>
      <c r="B57" s="137" t="s">
        <v>92</v>
      </c>
      <c r="C57" s="136" t="s">
        <v>450</v>
      </c>
      <c r="D57" s="136" t="s">
        <v>449</v>
      </c>
      <c r="E57" s="155">
        <v>163000</v>
      </c>
      <c r="F57" s="135">
        <v>5494.73</v>
      </c>
      <c r="G57" s="134">
        <v>4.0000000000000002E-4</v>
      </c>
      <c r="H57" s="139"/>
      <c r="I57" s="133"/>
    </row>
    <row r="58" spans="1:9" ht="13" customHeight="1" x14ac:dyDescent="0.25">
      <c r="A58" s="138" t="s">
        <v>448</v>
      </c>
      <c r="B58" s="137" t="s">
        <v>87</v>
      </c>
      <c r="C58" s="136" t="s">
        <v>447</v>
      </c>
      <c r="D58" s="136" t="s">
        <v>436</v>
      </c>
      <c r="E58" s="155">
        <v>492100</v>
      </c>
      <c r="F58" s="135">
        <v>5002.6899999999996</v>
      </c>
      <c r="G58" s="134">
        <v>2.9999999999999997E-4</v>
      </c>
      <c r="H58" s="139"/>
      <c r="I58" s="133"/>
    </row>
    <row r="59" spans="1:9" ht="13" customHeight="1" x14ac:dyDescent="0.25">
      <c r="A59" s="138" t="s">
        <v>446</v>
      </c>
      <c r="B59" s="137" t="s">
        <v>93</v>
      </c>
      <c r="C59" s="136" t="s">
        <v>445</v>
      </c>
      <c r="D59" s="136" t="s">
        <v>442</v>
      </c>
      <c r="E59" s="155">
        <v>54600</v>
      </c>
      <c r="F59" s="135">
        <v>4342.6099999999997</v>
      </c>
      <c r="G59" s="134">
        <v>2.9999999999999997E-4</v>
      </c>
      <c r="H59" s="139"/>
      <c r="I59" s="133"/>
    </row>
    <row r="60" spans="1:9" ht="13" customHeight="1" x14ac:dyDescent="0.25">
      <c r="A60" s="138" t="s">
        <v>444</v>
      </c>
      <c r="B60" s="137" t="s">
        <v>81</v>
      </c>
      <c r="C60" s="136" t="s">
        <v>443</v>
      </c>
      <c r="D60" s="136" t="s">
        <v>442</v>
      </c>
      <c r="E60" s="155">
        <v>96950</v>
      </c>
      <c r="F60" s="135">
        <v>4208.8900000000003</v>
      </c>
      <c r="G60" s="134">
        <v>2.9999999999999997E-4</v>
      </c>
      <c r="H60" s="139"/>
      <c r="I60" s="133"/>
    </row>
    <row r="61" spans="1:9" ht="13" customHeight="1" x14ac:dyDescent="0.25">
      <c r="A61" s="138" t="s">
        <v>441</v>
      </c>
      <c r="B61" s="137" t="s">
        <v>97</v>
      </c>
      <c r="C61" s="136" t="s">
        <v>440</v>
      </c>
      <c r="D61" s="136" t="s">
        <v>439</v>
      </c>
      <c r="E61" s="155">
        <v>178500</v>
      </c>
      <c r="F61" s="135">
        <v>3607.49</v>
      </c>
      <c r="G61" s="134">
        <v>2.0000000000000001E-4</v>
      </c>
      <c r="H61" s="139"/>
      <c r="I61" s="133"/>
    </row>
    <row r="62" spans="1:9" ht="13" customHeight="1" x14ac:dyDescent="0.25">
      <c r="A62" s="138" t="s">
        <v>438</v>
      </c>
      <c r="B62" s="137" t="s">
        <v>88</v>
      </c>
      <c r="C62" s="136" t="s">
        <v>437</v>
      </c>
      <c r="D62" s="136" t="s">
        <v>436</v>
      </c>
      <c r="E62" s="155">
        <v>2801050</v>
      </c>
      <c r="F62" s="135">
        <v>2408.06</v>
      </c>
      <c r="G62" s="134">
        <v>2.0000000000000001E-4</v>
      </c>
      <c r="H62" s="139"/>
      <c r="I62" s="133"/>
    </row>
    <row r="63" spans="1:9" ht="13" customHeight="1" x14ac:dyDescent="0.25">
      <c r="A63" s="138" t="s">
        <v>435</v>
      </c>
      <c r="B63" s="137" t="s">
        <v>99</v>
      </c>
      <c r="C63" s="136" t="s">
        <v>434</v>
      </c>
      <c r="D63" s="136" t="s">
        <v>433</v>
      </c>
      <c r="E63" s="155">
        <v>1345000</v>
      </c>
      <c r="F63" s="135">
        <v>2362.36</v>
      </c>
      <c r="G63" s="134">
        <v>2.0000000000000001E-4</v>
      </c>
      <c r="H63" s="139"/>
      <c r="I63" s="133"/>
    </row>
    <row r="64" spans="1:9" ht="13" customHeight="1" x14ac:dyDescent="0.25">
      <c r="A64" s="138" t="s">
        <v>432</v>
      </c>
      <c r="B64" s="137" t="s">
        <v>85</v>
      </c>
      <c r="C64" s="136" t="s">
        <v>431</v>
      </c>
      <c r="D64" s="136" t="s">
        <v>430</v>
      </c>
      <c r="E64" s="155">
        <v>120150</v>
      </c>
      <c r="F64" s="135">
        <v>1571.2</v>
      </c>
      <c r="G64" s="134">
        <v>1E-4</v>
      </c>
      <c r="H64" s="139"/>
      <c r="I64" s="133"/>
    </row>
    <row r="65" spans="1:9" ht="13" customHeight="1" x14ac:dyDescent="0.25">
      <c r="A65" s="138" t="s">
        <v>429</v>
      </c>
      <c r="B65" s="137" t="s">
        <v>77</v>
      </c>
      <c r="C65" s="136" t="s">
        <v>428</v>
      </c>
      <c r="D65" s="136" t="s">
        <v>427</v>
      </c>
      <c r="E65" s="155">
        <v>40150</v>
      </c>
      <c r="F65" s="135">
        <v>416.56</v>
      </c>
      <c r="G65" s="134" t="s">
        <v>142</v>
      </c>
      <c r="H65" s="139"/>
      <c r="I65" s="133"/>
    </row>
    <row r="66" spans="1:9" ht="13" customHeight="1" x14ac:dyDescent="0.25">
      <c r="A66" s="138" t="s">
        <v>426</v>
      </c>
      <c r="B66" s="137" t="s">
        <v>84</v>
      </c>
      <c r="C66" s="136" t="s">
        <v>425</v>
      </c>
      <c r="D66" s="136" t="s">
        <v>424</v>
      </c>
      <c r="E66" s="155">
        <v>5100</v>
      </c>
      <c r="F66" s="135">
        <v>111.61</v>
      </c>
      <c r="G66" s="134" t="s">
        <v>142</v>
      </c>
      <c r="H66" s="139"/>
      <c r="I66" s="133"/>
    </row>
    <row r="67" spans="1:9" ht="13" customHeight="1" x14ac:dyDescent="0.25">
      <c r="A67" s="138" t="s">
        <v>423</v>
      </c>
      <c r="B67" s="137" t="s">
        <v>86</v>
      </c>
      <c r="C67" s="136" t="s">
        <v>422</v>
      </c>
      <c r="D67" s="136" t="s">
        <v>421</v>
      </c>
      <c r="E67" s="155">
        <v>5375</v>
      </c>
      <c r="F67" s="135">
        <v>27.97</v>
      </c>
      <c r="G67" s="134" t="s">
        <v>142</v>
      </c>
      <c r="H67" s="139"/>
      <c r="I67" s="133"/>
    </row>
    <row r="68" spans="1:9" ht="13" customHeight="1" x14ac:dyDescent="0.25">
      <c r="A68" s="122"/>
      <c r="B68" s="132" t="s">
        <v>141</v>
      </c>
      <c r="C68" s="131"/>
      <c r="D68" s="131"/>
      <c r="E68" s="131"/>
      <c r="F68" s="130">
        <v>276745.32</v>
      </c>
      <c r="G68" s="129">
        <v>1.8800000000000001E-2</v>
      </c>
      <c r="H68" s="151"/>
      <c r="I68" s="128"/>
    </row>
    <row r="69" spans="1:9" ht="13" customHeight="1" x14ac:dyDescent="0.25">
      <c r="A69" s="122"/>
      <c r="B69" s="140" t="s">
        <v>420</v>
      </c>
      <c r="C69" s="136"/>
      <c r="D69" s="136"/>
      <c r="E69" s="136"/>
      <c r="F69" s="122"/>
      <c r="G69" s="139"/>
      <c r="H69" s="139"/>
      <c r="I69" s="133"/>
    </row>
    <row r="70" spans="1:9" ht="13" customHeight="1" x14ac:dyDescent="0.25">
      <c r="A70" s="138" t="s">
        <v>419</v>
      </c>
      <c r="B70" s="137" t="s">
        <v>418</v>
      </c>
      <c r="C70" s="136" t="s">
        <v>417</v>
      </c>
      <c r="D70" s="136" t="s">
        <v>410</v>
      </c>
      <c r="E70" s="155">
        <v>83312247</v>
      </c>
      <c r="F70" s="135">
        <v>365307.54</v>
      </c>
      <c r="G70" s="134">
        <v>2.4799999999999999E-2</v>
      </c>
      <c r="H70" s="139"/>
      <c r="I70" s="133"/>
    </row>
    <row r="71" spans="1:9" ht="13" customHeight="1" x14ac:dyDescent="0.25">
      <c r="A71" s="138" t="s">
        <v>416</v>
      </c>
      <c r="B71" s="137" t="s">
        <v>415</v>
      </c>
      <c r="C71" s="136" t="s">
        <v>414</v>
      </c>
      <c r="D71" s="136" t="s">
        <v>410</v>
      </c>
      <c r="E71" s="155">
        <v>278438503</v>
      </c>
      <c r="F71" s="135">
        <v>307591.01</v>
      </c>
      <c r="G71" s="134">
        <v>2.0899999999999998E-2</v>
      </c>
      <c r="H71" s="139"/>
      <c r="I71" s="133"/>
    </row>
    <row r="72" spans="1:9" ht="13" customHeight="1" x14ac:dyDescent="0.25">
      <c r="A72" s="138" t="s">
        <v>413</v>
      </c>
      <c r="B72" s="137" t="s">
        <v>412</v>
      </c>
      <c r="C72" s="136" t="s">
        <v>411</v>
      </c>
      <c r="D72" s="136" t="s">
        <v>410</v>
      </c>
      <c r="E72" s="155">
        <v>68921742</v>
      </c>
      <c r="F72" s="135">
        <v>235512.48</v>
      </c>
      <c r="G72" s="134">
        <v>1.6E-2</v>
      </c>
      <c r="H72" s="139"/>
      <c r="I72" s="133"/>
    </row>
    <row r="73" spans="1:9" ht="13" customHeight="1" x14ac:dyDescent="0.25">
      <c r="A73" s="122"/>
      <c r="B73" s="132" t="s">
        <v>141</v>
      </c>
      <c r="C73" s="131"/>
      <c r="D73" s="131"/>
      <c r="E73" s="131"/>
      <c r="F73" s="130">
        <v>908411.03</v>
      </c>
      <c r="G73" s="129">
        <v>6.1699999999999998E-2</v>
      </c>
      <c r="H73" s="151"/>
      <c r="I73" s="128"/>
    </row>
    <row r="74" spans="1:9" ht="13" customHeight="1" x14ac:dyDescent="0.25">
      <c r="A74" s="122"/>
      <c r="B74" s="132" t="s">
        <v>409</v>
      </c>
      <c r="C74" s="131"/>
      <c r="D74" s="131"/>
      <c r="E74" s="131"/>
      <c r="F74" s="151" t="s">
        <v>124</v>
      </c>
      <c r="G74" s="151" t="s">
        <v>124</v>
      </c>
      <c r="H74" s="151"/>
      <c r="I74" s="128"/>
    </row>
    <row r="75" spans="1:9" ht="13" customHeight="1" x14ac:dyDescent="0.25">
      <c r="A75" s="122"/>
      <c r="B75" s="132" t="s">
        <v>141</v>
      </c>
      <c r="C75" s="131"/>
      <c r="D75" s="131"/>
      <c r="E75" s="131"/>
      <c r="F75" s="151" t="s">
        <v>124</v>
      </c>
      <c r="G75" s="151" t="s">
        <v>124</v>
      </c>
      <c r="H75" s="151"/>
      <c r="I75" s="128"/>
    </row>
    <row r="76" spans="1:9" ht="13" customHeight="1" x14ac:dyDescent="0.25">
      <c r="A76" s="122"/>
      <c r="B76" s="132" t="s">
        <v>140</v>
      </c>
      <c r="C76" s="153"/>
      <c r="D76" s="131"/>
      <c r="E76" s="153"/>
      <c r="F76" s="130">
        <v>11680019.15</v>
      </c>
      <c r="G76" s="129">
        <v>0.79249999999999998</v>
      </c>
      <c r="H76" s="151"/>
      <c r="I76" s="128"/>
    </row>
    <row r="77" spans="1:9" ht="13" customHeight="1" x14ac:dyDescent="0.25">
      <c r="A77" s="122"/>
      <c r="B77" s="140" t="s">
        <v>408</v>
      </c>
      <c r="C77" s="136"/>
      <c r="D77" s="136"/>
      <c r="E77" s="136"/>
      <c r="F77" s="136"/>
      <c r="G77" s="136"/>
      <c r="H77" s="139"/>
      <c r="I77" s="133"/>
    </row>
    <row r="78" spans="1:9" ht="13" customHeight="1" x14ac:dyDescent="0.25">
      <c r="A78" s="122"/>
      <c r="B78" s="140" t="s">
        <v>407</v>
      </c>
      <c r="C78" s="136"/>
      <c r="D78" s="136"/>
      <c r="E78" s="136"/>
      <c r="F78" s="122"/>
      <c r="G78" s="139"/>
      <c r="H78" s="139"/>
      <c r="I78" s="133"/>
    </row>
    <row r="79" spans="1:9" ht="13" customHeight="1" x14ac:dyDescent="0.25">
      <c r="A79" s="138" t="s">
        <v>406</v>
      </c>
      <c r="B79" s="137" t="s">
        <v>405</v>
      </c>
      <c r="C79" s="136" t="s">
        <v>404</v>
      </c>
      <c r="D79" s="136" t="s">
        <v>392</v>
      </c>
      <c r="E79" s="155">
        <v>1889757</v>
      </c>
      <c r="F79" s="135">
        <v>610341.06999999995</v>
      </c>
      <c r="G79" s="134">
        <v>4.1399999999999999E-2</v>
      </c>
      <c r="H79" s="139"/>
      <c r="I79" s="133"/>
    </row>
    <row r="80" spans="1:9" ht="13" customHeight="1" x14ac:dyDescent="0.25">
      <c r="A80" s="138" t="s">
        <v>403</v>
      </c>
      <c r="B80" s="137" t="s">
        <v>402</v>
      </c>
      <c r="C80" s="136" t="s">
        <v>401</v>
      </c>
      <c r="D80" s="136" t="s">
        <v>400</v>
      </c>
      <c r="E80" s="155">
        <v>733019</v>
      </c>
      <c r="F80" s="135">
        <v>353907.94</v>
      </c>
      <c r="G80" s="134">
        <v>2.4E-2</v>
      </c>
      <c r="H80" s="139"/>
      <c r="I80" s="133"/>
    </row>
    <row r="81" spans="1:9" ht="13" customHeight="1" x14ac:dyDescent="0.25">
      <c r="A81" s="138" t="s">
        <v>399</v>
      </c>
      <c r="B81" s="137" t="s">
        <v>398</v>
      </c>
      <c r="C81" s="136" t="s">
        <v>397</v>
      </c>
      <c r="D81" s="136" t="s">
        <v>396</v>
      </c>
      <c r="E81" s="155">
        <v>1390648</v>
      </c>
      <c r="F81" s="135">
        <v>343815.13</v>
      </c>
      <c r="G81" s="134">
        <v>2.3300000000000001E-2</v>
      </c>
      <c r="H81" s="139"/>
      <c r="I81" s="133"/>
    </row>
    <row r="82" spans="1:9" ht="13" customHeight="1" x14ac:dyDescent="0.25">
      <c r="A82" s="138" t="s">
        <v>395</v>
      </c>
      <c r="B82" s="137" t="s">
        <v>394</v>
      </c>
      <c r="C82" s="136" t="s">
        <v>393</v>
      </c>
      <c r="D82" s="136" t="s">
        <v>392</v>
      </c>
      <c r="E82" s="155">
        <v>591056</v>
      </c>
      <c r="F82" s="135">
        <v>321959.7</v>
      </c>
      <c r="G82" s="134">
        <v>2.18E-2</v>
      </c>
      <c r="H82" s="139"/>
      <c r="I82" s="133"/>
    </row>
    <row r="83" spans="1:9" ht="13" customHeight="1" x14ac:dyDescent="0.25">
      <c r="A83" s="122"/>
      <c r="B83" s="132" t="s">
        <v>141</v>
      </c>
      <c r="C83" s="131"/>
      <c r="D83" s="131"/>
      <c r="E83" s="131"/>
      <c r="F83" s="130">
        <v>1630023.84</v>
      </c>
      <c r="G83" s="129">
        <v>0.1105</v>
      </c>
      <c r="H83" s="151"/>
      <c r="I83" s="128"/>
    </row>
    <row r="84" spans="1:9" ht="13" customHeight="1" x14ac:dyDescent="0.25">
      <c r="A84" s="122"/>
      <c r="B84" s="132" t="s">
        <v>391</v>
      </c>
      <c r="C84" s="131"/>
      <c r="D84" s="131"/>
      <c r="E84" s="131"/>
      <c r="F84" s="151" t="s">
        <v>124</v>
      </c>
      <c r="G84" s="151" t="s">
        <v>124</v>
      </c>
      <c r="H84" s="151"/>
      <c r="I84" s="128"/>
    </row>
    <row r="85" spans="1:9" ht="13" customHeight="1" x14ac:dyDescent="0.25">
      <c r="A85" s="122"/>
      <c r="B85" s="132" t="s">
        <v>141</v>
      </c>
      <c r="C85" s="131"/>
      <c r="D85" s="131"/>
      <c r="E85" s="131"/>
      <c r="F85" s="151" t="s">
        <v>124</v>
      </c>
      <c r="G85" s="151" t="s">
        <v>124</v>
      </c>
      <c r="H85" s="151"/>
      <c r="I85" s="128"/>
    </row>
    <row r="86" spans="1:9" ht="13" customHeight="1" x14ac:dyDescent="0.25">
      <c r="A86" s="122"/>
      <c r="B86" s="132" t="s">
        <v>140</v>
      </c>
      <c r="C86" s="153"/>
      <c r="D86" s="131"/>
      <c r="E86" s="153"/>
      <c r="F86" s="130">
        <v>1630023.84</v>
      </c>
      <c r="G86" s="129">
        <v>0.1105</v>
      </c>
      <c r="H86" s="151"/>
      <c r="I86" s="128"/>
    </row>
    <row r="87" spans="1:9" ht="13" customHeight="1" x14ac:dyDescent="0.25">
      <c r="A87" s="122"/>
      <c r="B87" s="140" t="s">
        <v>390</v>
      </c>
      <c r="C87" s="136"/>
      <c r="D87" s="136"/>
      <c r="E87" s="136"/>
      <c r="F87" s="136"/>
      <c r="G87" s="136"/>
      <c r="H87" s="139"/>
      <c r="I87" s="133"/>
    </row>
    <row r="88" spans="1:9" ht="13" customHeight="1" x14ac:dyDescent="0.25">
      <c r="A88" s="122"/>
      <c r="B88" s="140" t="s">
        <v>389</v>
      </c>
      <c r="C88" s="136"/>
      <c r="D88" s="136"/>
      <c r="E88" s="136"/>
      <c r="F88" s="122"/>
      <c r="G88" s="139"/>
      <c r="H88" s="139"/>
      <c r="I88" s="133"/>
    </row>
    <row r="89" spans="1:9" ht="13" customHeight="1" x14ac:dyDescent="0.25">
      <c r="A89" s="138" t="s">
        <v>388</v>
      </c>
      <c r="B89" s="137" t="s">
        <v>387</v>
      </c>
      <c r="C89" s="136" t="s">
        <v>386</v>
      </c>
      <c r="D89" s="136" t="s">
        <v>252</v>
      </c>
      <c r="E89" s="155">
        <v>10000</v>
      </c>
      <c r="F89" s="135">
        <v>49062.2</v>
      </c>
      <c r="G89" s="134">
        <v>3.3E-3</v>
      </c>
      <c r="H89" s="154">
        <v>6.4600000000000005E-2</v>
      </c>
      <c r="I89" s="133"/>
    </row>
    <row r="90" spans="1:9" ht="13" customHeight="1" x14ac:dyDescent="0.25">
      <c r="A90" s="138" t="s">
        <v>385</v>
      </c>
      <c r="B90" s="137" t="s">
        <v>384</v>
      </c>
      <c r="C90" s="136" t="s">
        <v>383</v>
      </c>
      <c r="D90" s="136" t="s">
        <v>252</v>
      </c>
      <c r="E90" s="155">
        <v>9000</v>
      </c>
      <c r="F90" s="135">
        <v>44153.42</v>
      </c>
      <c r="G90" s="134">
        <v>3.0000000000000001E-3</v>
      </c>
      <c r="H90" s="154">
        <v>6.4799999999999996E-2</v>
      </c>
      <c r="I90" s="133"/>
    </row>
    <row r="91" spans="1:9" ht="13" customHeight="1" x14ac:dyDescent="0.25">
      <c r="A91" s="138" t="s">
        <v>382</v>
      </c>
      <c r="B91" s="137" t="s">
        <v>381</v>
      </c>
      <c r="C91" s="136" t="s">
        <v>380</v>
      </c>
      <c r="D91" s="136" t="s">
        <v>252</v>
      </c>
      <c r="E91" s="155">
        <v>8000</v>
      </c>
      <c r="F91" s="135">
        <v>39885.760000000002</v>
      </c>
      <c r="G91" s="134">
        <v>2.7000000000000001E-3</v>
      </c>
      <c r="H91" s="154">
        <v>6.1505999999999998E-2</v>
      </c>
      <c r="I91" s="133"/>
    </row>
    <row r="92" spans="1:9" ht="13" customHeight="1" x14ac:dyDescent="0.25">
      <c r="A92" s="138" t="s">
        <v>379</v>
      </c>
      <c r="B92" s="137" t="s">
        <v>378</v>
      </c>
      <c r="C92" s="136" t="s">
        <v>377</v>
      </c>
      <c r="D92" s="136" t="s">
        <v>298</v>
      </c>
      <c r="E92" s="155">
        <v>7500</v>
      </c>
      <c r="F92" s="135">
        <v>37443.68</v>
      </c>
      <c r="G92" s="134">
        <v>2.5000000000000001E-3</v>
      </c>
      <c r="H92" s="154">
        <v>6.0999999999999999E-2</v>
      </c>
      <c r="I92" s="133"/>
    </row>
    <row r="93" spans="1:9" ht="13" customHeight="1" x14ac:dyDescent="0.25">
      <c r="A93" s="138" t="s">
        <v>376</v>
      </c>
      <c r="B93" s="137" t="s">
        <v>375</v>
      </c>
      <c r="C93" s="136" t="s">
        <v>374</v>
      </c>
      <c r="D93" s="136" t="s">
        <v>252</v>
      </c>
      <c r="E93" s="155">
        <v>7000</v>
      </c>
      <c r="F93" s="135">
        <v>34866.51</v>
      </c>
      <c r="G93" s="134">
        <v>2.3999999999999998E-3</v>
      </c>
      <c r="H93" s="154">
        <v>6.0766000000000001E-2</v>
      </c>
      <c r="I93" s="133"/>
    </row>
    <row r="94" spans="1:9" ht="13" customHeight="1" x14ac:dyDescent="0.25">
      <c r="A94" s="138" t="s">
        <v>373</v>
      </c>
      <c r="B94" s="137" t="s">
        <v>372</v>
      </c>
      <c r="C94" s="136" t="s">
        <v>371</v>
      </c>
      <c r="D94" s="136" t="s">
        <v>252</v>
      </c>
      <c r="E94" s="155">
        <v>6000</v>
      </c>
      <c r="F94" s="135">
        <v>29883.66</v>
      </c>
      <c r="G94" s="134">
        <v>2E-3</v>
      </c>
      <c r="H94" s="154">
        <v>6.1781999999999997E-2</v>
      </c>
      <c r="I94" s="133"/>
    </row>
    <row r="95" spans="1:9" ht="13" customHeight="1" x14ac:dyDescent="0.25">
      <c r="A95" s="138" t="s">
        <v>370</v>
      </c>
      <c r="B95" s="137" t="s">
        <v>369</v>
      </c>
      <c r="C95" s="136" t="s">
        <v>368</v>
      </c>
      <c r="D95" s="136" t="s">
        <v>252</v>
      </c>
      <c r="E95" s="155">
        <v>6000</v>
      </c>
      <c r="F95" s="135">
        <v>29631.99</v>
      </c>
      <c r="G95" s="134">
        <v>2E-3</v>
      </c>
      <c r="H95" s="154">
        <v>6.3849000000000003E-2</v>
      </c>
      <c r="I95" s="133"/>
    </row>
    <row r="96" spans="1:9" ht="13" customHeight="1" x14ac:dyDescent="0.25">
      <c r="A96" s="138" t="s">
        <v>367</v>
      </c>
      <c r="B96" s="137" t="s">
        <v>366</v>
      </c>
      <c r="C96" s="136" t="s">
        <v>365</v>
      </c>
      <c r="D96" s="136" t="s">
        <v>252</v>
      </c>
      <c r="E96" s="155">
        <v>6000</v>
      </c>
      <c r="F96" s="135">
        <v>29227.65</v>
      </c>
      <c r="G96" s="134">
        <v>2E-3</v>
      </c>
      <c r="H96" s="154">
        <v>6.7450999999999997E-2</v>
      </c>
      <c r="I96" s="133"/>
    </row>
    <row r="97" spans="1:9" ht="13" customHeight="1" x14ac:dyDescent="0.25">
      <c r="A97" s="138" t="s">
        <v>364</v>
      </c>
      <c r="B97" s="137" t="s">
        <v>363</v>
      </c>
      <c r="C97" s="136" t="s">
        <v>362</v>
      </c>
      <c r="D97" s="136" t="s">
        <v>252</v>
      </c>
      <c r="E97" s="155">
        <v>5000</v>
      </c>
      <c r="F97" s="135">
        <v>25000</v>
      </c>
      <c r="G97" s="134">
        <v>1.6999999999999999E-3</v>
      </c>
      <c r="H97" s="154">
        <v>5.1837000000000001E-2</v>
      </c>
      <c r="I97" s="133"/>
    </row>
    <row r="98" spans="1:9" ht="13" customHeight="1" x14ac:dyDescent="0.25">
      <c r="A98" s="138" t="s">
        <v>361</v>
      </c>
      <c r="B98" s="137" t="s">
        <v>360</v>
      </c>
      <c r="C98" s="136" t="s">
        <v>359</v>
      </c>
      <c r="D98" s="136" t="s">
        <v>259</v>
      </c>
      <c r="E98" s="155">
        <v>5000</v>
      </c>
      <c r="F98" s="135">
        <v>24359.98</v>
      </c>
      <c r="G98" s="134">
        <v>1.6999999999999999E-3</v>
      </c>
      <c r="H98" s="154">
        <v>6.8500000000000005E-2</v>
      </c>
      <c r="I98" s="133"/>
    </row>
    <row r="99" spans="1:9" ht="13" customHeight="1" x14ac:dyDescent="0.25">
      <c r="A99" s="138" t="s">
        <v>358</v>
      </c>
      <c r="B99" s="137" t="s">
        <v>357</v>
      </c>
      <c r="C99" s="136" t="s">
        <v>356</v>
      </c>
      <c r="D99" s="136" t="s">
        <v>252</v>
      </c>
      <c r="E99" s="155">
        <v>4500</v>
      </c>
      <c r="F99" s="135">
        <v>21944.03</v>
      </c>
      <c r="G99" s="134">
        <v>1.5E-3</v>
      </c>
      <c r="H99" s="154">
        <v>6.8500000000000005E-2</v>
      </c>
      <c r="I99" s="133"/>
    </row>
    <row r="100" spans="1:9" ht="13" customHeight="1" x14ac:dyDescent="0.25">
      <c r="A100" s="138" t="s">
        <v>355</v>
      </c>
      <c r="B100" s="137" t="s">
        <v>354</v>
      </c>
      <c r="C100" s="136" t="s">
        <v>353</v>
      </c>
      <c r="D100" s="136" t="s">
        <v>252</v>
      </c>
      <c r="E100" s="155">
        <v>4000</v>
      </c>
      <c r="F100" s="135">
        <v>19855.599999999999</v>
      </c>
      <c r="G100" s="134">
        <v>1.2999999999999999E-3</v>
      </c>
      <c r="H100" s="154">
        <v>6.3200000000000006E-2</v>
      </c>
      <c r="I100" s="133"/>
    </row>
    <row r="101" spans="1:9" ht="13" customHeight="1" x14ac:dyDescent="0.25">
      <c r="A101" s="138" t="s">
        <v>352</v>
      </c>
      <c r="B101" s="137" t="s">
        <v>351</v>
      </c>
      <c r="C101" s="136" t="s">
        <v>350</v>
      </c>
      <c r="D101" s="136" t="s">
        <v>291</v>
      </c>
      <c r="E101" s="155">
        <v>4000</v>
      </c>
      <c r="F101" s="135">
        <v>19634.759999999998</v>
      </c>
      <c r="G101" s="134">
        <v>1.2999999999999999E-3</v>
      </c>
      <c r="H101" s="154">
        <v>6.4662999999999998E-2</v>
      </c>
      <c r="I101" s="133"/>
    </row>
    <row r="102" spans="1:9" ht="13" customHeight="1" x14ac:dyDescent="0.25">
      <c r="A102" s="138" t="s">
        <v>349</v>
      </c>
      <c r="B102" s="137" t="s">
        <v>348</v>
      </c>
      <c r="C102" s="136" t="s">
        <v>347</v>
      </c>
      <c r="D102" s="136" t="s">
        <v>252</v>
      </c>
      <c r="E102" s="155">
        <v>4000</v>
      </c>
      <c r="F102" s="135">
        <v>19537.36</v>
      </c>
      <c r="G102" s="134">
        <v>1.2999999999999999E-3</v>
      </c>
      <c r="H102" s="154">
        <v>6.7000000000000004E-2</v>
      </c>
      <c r="I102" s="133"/>
    </row>
    <row r="103" spans="1:9" ht="13" customHeight="1" x14ac:dyDescent="0.25">
      <c r="A103" s="138" t="s">
        <v>346</v>
      </c>
      <c r="B103" s="137" t="s">
        <v>345</v>
      </c>
      <c r="C103" s="136" t="s">
        <v>344</v>
      </c>
      <c r="D103" s="136" t="s">
        <v>259</v>
      </c>
      <c r="E103" s="155">
        <v>4000</v>
      </c>
      <c r="F103" s="135">
        <v>19469.5</v>
      </c>
      <c r="G103" s="134">
        <v>1.2999999999999999E-3</v>
      </c>
      <c r="H103" s="154">
        <v>6.7199999999999996E-2</v>
      </c>
      <c r="I103" s="133"/>
    </row>
    <row r="104" spans="1:9" ht="13" customHeight="1" x14ac:dyDescent="0.25">
      <c r="A104" s="138" t="s">
        <v>343</v>
      </c>
      <c r="B104" s="137" t="s">
        <v>342</v>
      </c>
      <c r="C104" s="136" t="s">
        <v>341</v>
      </c>
      <c r="D104" s="136" t="s">
        <v>298</v>
      </c>
      <c r="E104" s="155">
        <v>3500</v>
      </c>
      <c r="F104" s="135">
        <v>17174.310000000001</v>
      </c>
      <c r="G104" s="134">
        <v>1.1999999999999999E-3</v>
      </c>
      <c r="H104" s="154">
        <v>6.5299999999999997E-2</v>
      </c>
      <c r="I104" s="133"/>
    </row>
    <row r="105" spans="1:9" ht="13" customHeight="1" x14ac:dyDescent="0.25">
      <c r="A105" s="138" t="s">
        <v>340</v>
      </c>
      <c r="B105" s="137" t="s">
        <v>339</v>
      </c>
      <c r="C105" s="136" t="s">
        <v>338</v>
      </c>
      <c r="D105" s="136" t="s">
        <v>259</v>
      </c>
      <c r="E105" s="155">
        <v>3000</v>
      </c>
      <c r="F105" s="135">
        <v>14607.96</v>
      </c>
      <c r="G105" s="134">
        <v>1E-3</v>
      </c>
      <c r="H105" s="154">
        <v>6.8500000000000005E-2</v>
      </c>
      <c r="I105" s="133"/>
    </row>
    <row r="106" spans="1:9" ht="13" customHeight="1" x14ac:dyDescent="0.25">
      <c r="A106" s="138" t="s">
        <v>337</v>
      </c>
      <c r="B106" s="137" t="s">
        <v>336</v>
      </c>
      <c r="C106" s="136" t="s">
        <v>335</v>
      </c>
      <c r="D106" s="136" t="s">
        <v>252</v>
      </c>
      <c r="E106" s="155">
        <v>3000</v>
      </c>
      <c r="F106" s="135">
        <v>14591.97</v>
      </c>
      <c r="G106" s="134">
        <v>1E-3</v>
      </c>
      <c r="H106" s="154">
        <v>6.8500000000000005E-2</v>
      </c>
      <c r="I106" s="133"/>
    </row>
    <row r="107" spans="1:9" ht="13" customHeight="1" x14ac:dyDescent="0.25">
      <c r="A107" s="138" t="s">
        <v>334</v>
      </c>
      <c r="B107" s="137" t="s">
        <v>333</v>
      </c>
      <c r="C107" s="136" t="s">
        <v>332</v>
      </c>
      <c r="D107" s="136" t="s">
        <v>252</v>
      </c>
      <c r="E107" s="155">
        <v>2000</v>
      </c>
      <c r="F107" s="135">
        <v>9998.3799999999992</v>
      </c>
      <c r="G107" s="134">
        <v>6.9999999999999999E-4</v>
      </c>
      <c r="H107" s="154">
        <v>5.9322E-2</v>
      </c>
      <c r="I107" s="133"/>
    </row>
    <row r="108" spans="1:9" ht="13" customHeight="1" x14ac:dyDescent="0.25">
      <c r="A108" s="138" t="s">
        <v>331</v>
      </c>
      <c r="B108" s="137" t="s">
        <v>330</v>
      </c>
      <c r="C108" s="136" t="s">
        <v>329</v>
      </c>
      <c r="D108" s="136" t="s">
        <v>298</v>
      </c>
      <c r="E108" s="155">
        <v>2000</v>
      </c>
      <c r="F108" s="135">
        <v>9966.2800000000007</v>
      </c>
      <c r="G108" s="134">
        <v>6.9999999999999999E-4</v>
      </c>
      <c r="H108" s="154">
        <v>6.1755999999999998E-2</v>
      </c>
      <c r="I108" s="133"/>
    </row>
    <row r="109" spans="1:9" ht="13" customHeight="1" x14ac:dyDescent="0.25">
      <c r="A109" s="138" t="s">
        <v>328</v>
      </c>
      <c r="B109" s="137" t="s">
        <v>327</v>
      </c>
      <c r="C109" s="136" t="s">
        <v>326</v>
      </c>
      <c r="D109" s="136" t="s">
        <v>298</v>
      </c>
      <c r="E109" s="155">
        <v>2000</v>
      </c>
      <c r="F109" s="135">
        <v>9877.91</v>
      </c>
      <c r="G109" s="134">
        <v>6.9999999999999999E-4</v>
      </c>
      <c r="H109" s="154">
        <v>6.4448000000000005E-2</v>
      </c>
      <c r="I109" s="133"/>
    </row>
    <row r="110" spans="1:9" ht="13" customHeight="1" x14ac:dyDescent="0.25">
      <c r="A110" s="138" t="s">
        <v>325</v>
      </c>
      <c r="B110" s="137" t="s">
        <v>324</v>
      </c>
      <c r="C110" s="136" t="s">
        <v>323</v>
      </c>
      <c r="D110" s="136" t="s">
        <v>298</v>
      </c>
      <c r="E110" s="155">
        <v>2000</v>
      </c>
      <c r="F110" s="135">
        <v>9872.64</v>
      </c>
      <c r="G110" s="134">
        <v>6.9999999999999999E-4</v>
      </c>
      <c r="H110" s="154">
        <v>6.4501000000000003E-2</v>
      </c>
      <c r="I110" s="133"/>
    </row>
    <row r="111" spans="1:9" ht="13" customHeight="1" x14ac:dyDescent="0.25">
      <c r="A111" s="138" t="s">
        <v>322</v>
      </c>
      <c r="B111" s="137" t="s">
        <v>321</v>
      </c>
      <c r="C111" s="136" t="s">
        <v>320</v>
      </c>
      <c r="D111" s="136" t="s">
        <v>298</v>
      </c>
      <c r="E111" s="155">
        <v>2000</v>
      </c>
      <c r="F111" s="135">
        <v>9740.8700000000008</v>
      </c>
      <c r="G111" s="134">
        <v>6.9999999999999999E-4</v>
      </c>
      <c r="H111" s="154">
        <v>6.7901000000000003E-2</v>
      </c>
      <c r="I111" s="133"/>
    </row>
    <row r="112" spans="1:9" ht="13" customHeight="1" x14ac:dyDescent="0.25">
      <c r="A112" s="138" t="s">
        <v>319</v>
      </c>
      <c r="B112" s="137" t="s">
        <v>318</v>
      </c>
      <c r="C112" s="136" t="s">
        <v>317</v>
      </c>
      <c r="D112" s="136" t="s">
        <v>298</v>
      </c>
      <c r="E112" s="155">
        <v>2000</v>
      </c>
      <c r="F112" s="135">
        <v>9719.19</v>
      </c>
      <c r="G112" s="134">
        <v>6.9999999999999999E-4</v>
      </c>
      <c r="H112" s="154">
        <v>6.7600999999999994E-2</v>
      </c>
      <c r="I112" s="133"/>
    </row>
    <row r="113" spans="1:9" ht="13" customHeight="1" x14ac:dyDescent="0.25">
      <c r="A113" s="138" t="s">
        <v>316</v>
      </c>
      <c r="B113" s="137" t="s">
        <v>315</v>
      </c>
      <c r="C113" s="136" t="s">
        <v>314</v>
      </c>
      <c r="D113" s="136" t="s">
        <v>298</v>
      </c>
      <c r="E113" s="155">
        <v>2000</v>
      </c>
      <c r="F113" s="135">
        <v>9717.65</v>
      </c>
      <c r="G113" s="134">
        <v>6.9999999999999999E-4</v>
      </c>
      <c r="H113" s="154">
        <v>6.7549999999999999E-2</v>
      </c>
      <c r="I113" s="133"/>
    </row>
    <row r="114" spans="1:9" ht="13" customHeight="1" x14ac:dyDescent="0.25">
      <c r="A114" s="138" t="s">
        <v>313</v>
      </c>
      <c r="B114" s="137" t="s">
        <v>312</v>
      </c>
      <c r="C114" s="136" t="s">
        <v>311</v>
      </c>
      <c r="D114" s="136" t="s">
        <v>291</v>
      </c>
      <c r="E114" s="155">
        <v>1000</v>
      </c>
      <c r="F114" s="135">
        <v>4987.55</v>
      </c>
      <c r="G114" s="134">
        <v>2.9999999999999997E-4</v>
      </c>
      <c r="H114" s="154">
        <v>6.0753000000000001E-2</v>
      </c>
      <c r="I114" s="133"/>
    </row>
    <row r="115" spans="1:9" ht="13" customHeight="1" x14ac:dyDescent="0.25">
      <c r="A115" s="138" t="s">
        <v>310</v>
      </c>
      <c r="B115" s="137" t="s">
        <v>309</v>
      </c>
      <c r="C115" s="136" t="s">
        <v>308</v>
      </c>
      <c r="D115" s="136" t="s">
        <v>252</v>
      </c>
      <c r="E115" s="155">
        <v>1000</v>
      </c>
      <c r="F115" s="135">
        <v>4924.87</v>
      </c>
      <c r="G115" s="134">
        <v>2.9999999999999997E-4</v>
      </c>
      <c r="H115" s="154">
        <v>6.4001000000000002E-2</v>
      </c>
      <c r="I115" s="133"/>
    </row>
    <row r="116" spans="1:9" ht="13" customHeight="1" x14ac:dyDescent="0.25">
      <c r="A116" s="138" t="s">
        <v>307</v>
      </c>
      <c r="B116" s="137" t="s">
        <v>306</v>
      </c>
      <c r="C116" s="136" t="s">
        <v>305</v>
      </c>
      <c r="D116" s="136" t="s">
        <v>252</v>
      </c>
      <c r="E116" s="155">
        <v>1000</v>
      </c>
      <c r="F116" s="135">
        <v>4858.76</v>
      </c>
      <c r="G116" s="134">
        <v>2.9999999999999997E-4</v>
      </c>
      <c r="H116" s="154">
        <v>6.7581000000000002E-2</v>
      </c>
      <c r="I116" s="133"/>
    </row>
    <row r="117" spans="1:9" ht="13" customHeight="1" x14ac:dyDescent="0.25">
      <c r="A117" s="138" t="s">
        <v>304</v>
      </c>
      <c r="B117" s="137" t="s">
        <v>303</v>
      </c>
      <c r="C117" s="136" t="s">
        <v>302</v>
      </c>
      <c r="D117" s="136" t="s">
        <v>252</v>
      </c>
      <c r="E117" s="155">
        <v>1000</v>
      </c>
      <c r="F117" s="135">
        <v>4731.99</v>
      </c>
      <c r="G117" s="134">
        <v>2.9999999999999997E-4</v>
      </c>
      <c r="H117" s="154">
        <v>7.3050000000000004E-2</v>
      </c>
      <c r="I117" s="133"/>
    </row>
    <row r="118" spans="1:9" ht="13" customHeight="1" x14ac:dyDescent="0.25">
      <c r="A118" s="138" t="s">
        <v>301</v>
      </c>
      <c r="B118" s="137" t="s">
        <v>300</v>
      </c>
      <c r="C118" s="136" t="s">
        <v>299</v>
      </c>
      <c r="D118" s="136" t="s">
        <v>298</v>
      </c>
      <c r="E118" s="155">
        <v>500</v>
      </c>
      <c r="F118" s="135">
        <v>2493.67</v>
      </c>
      <c r="G118" s="134">
        <v>2.0000000000000001E-4</v>
      </c>
      <c r="H118" s="154">
        <v>6.1744E-2</v>
      </c>
      <c r="I118" s="133"/>
    </row>
    <row r="119" spans="1:9" ht="13" customHeight="1" x14ac:dyDescent="0.25">
      <c r="A119" s="138" t="s">
        <v>297</v>
      </c>
      <c r="B119" s="137" t="s">
        <v>296</v>
      </c>
      <c r="C119" s="136" t="s">
        <v>295</v>
      </c>
      <c r="D119" s="136" t="s">
        <v>291</v>
      </c>
      <c r="E119" s="155">
        <v>500</v>
      </c>
      <c r="F119" s="135">
        <v>2463.4</v>
      </c>
      <c r="G119" s="134">
        <v>2.0000000000000001E-4</v>
      </c>
      <c r="H119" s="154">
        <v>6.3800999999999997E-2</v>
      </c>
      <c r="I119" s="133"/>
    </row>
    <row r="120" spans="1:9" ht="13" customHeight="1" x14ac:dyDescent="0.25">
      <c r="A120" s="138" t="s">
        <v>294</v>
      </c>
      <c r="B120" s="137" t="s">
        <v>293</v>
      </c>
      <c r="C120" s="136" t="s">
        <v>292</v>
      </c>
      <c r="D120" s="136" t="s">
        <v>291</v>
      </c>
      <c r="E120" s="155">
        <v>500</v>
      </c>
      <c r="F120" s="135">
        <v>2457.84</v>
      </c>
      <c r="G120" s="134">
        <v>2.0000000000000001E-4</v>
      </c>
      <c r="H120" s="154">
        <v>6.4554E-2</v>
      </c>
      <c r="I120" s="133"/>
    </row>
    <row r="121" spans="1:9" ht="13" customHeight="1" x14ac:dyDescent="0.25">
      <c r="A121" s="122"/>
      <c r="B121" s="132" t="s">
        <v>141</v>
      </c>
      <c r="C121" s="131"/>
      <c r="D121" s="131"/>
      <c r="E121" s="131"/>
      <c r="F121" s="130">
        <v>586141.34</v>
      </c>
      <c r="G121" s="129">
        <v>3.9899999999999998E-2</v>
      </c>
      <c r="H121" s="151"/>
      <c r="I121" s="128"/>
    </row>
    <row r="122" spans="1:9" ht="13" customHeight="1" x14ac:dyDescent="0.25">
      <c r="A122" s="122"/>
      <c r="B122" s="140" t="s">
        <v>290</v>
      </c>
      <c r="C122" s="136"/>
      <c r="D122" s="136"/>
      <c r="E122" s="136"/>
      <c r="F122" s="122"/>
      <c r="G122" s="139"/>
      <c r="H122" s="139"/>
      <c r="I122" s="133"/>
    </row>
    <row r="123" spans="1:9" ht="13" customHeight="1" x14ac:dyDescent="0.25">
      <c r="A123" s="138" t="s">
        <v>289</v>
      </c>
      <c r="B123" s="137" t="s">
        <v>288</v>
      </c>
      <c r="C123" s="136" t="s">
        <v>287</v>
      </c>
      <c r="D123" s="136" t="s">
        <v>252</v>
      </c>
      <c r="E123" s="155">
        <v>10000</v>
      </c>
      <c r="F123" s="135">
        <v>49805.9</v>
      </c>
      <c r="G123" s="134">
        <v>3.3999999999999998E-3</v>
      </c>
      <c r="H123" s="154">
        <v>6.1853999999999999E-2</v>
      </c>
      <c r="I123" s="133"/>
    </row>
    <row r="124" spans="1:9" ht="13" customHeight="1" x14ac:dyDescent="0.25">
      <c r="A124" s="138" t="s">
        <v>286</v>
      </c>
      <c r="B124" s="137" t="s">
        <v>285</v>
      </c>
      <c r="C124" s="136" t="s">
        <v>284</v>
      </c>
      <c r="D124" s="136" t="s">
        <v>252</v>
      </c>
      <c r="E124" s="155">
        <v>9000</v>
      </c>
      <c r="F124" s="135">
        <v>44175.56</v>
      </c>
      <c r="G124" s="134">
        <v>3.0000000000000001E-3</v>
      </c>
      <c r="H124" s="154">
        <v>6.5500000000000003E-2</v>
      </c>
      <c r="I124" s="133"/>
    </row>
    <row r="125" spans="1:9" ht="13" customHeight="1" x14ac:dyDescent="0.25">
      <c r="A125" s="138" t="s">
        <v>283</v>
      </c>
      <c r="B125" s="137" t="s">
        <v>282</v>
      </c>
      <c r="C125" s="136" t="s">
        <v>281</v>
      </c>
      <c r="D125" s="136" t="s">
        <v>252</v>
      </c>
      <c r="E125" s="155">
        <v>4000</v>
      </c>
      <c r="F125" s="135">
        <v>19952.939999999999</v>
      </c>
      <c r="G125" s="134">
        <v>1.4E-3</v>
      </c>
      <c r="H125" s="154">
        <v>6.1504000000000003E-2</v>
      </c>
      <c r="I125" s="133"/>
    </row>
    <row r="126" spans="1:9" ht="13" customHeight="1" x14ac:dyDescent="0.25">
      <c r="A126" s="138" t="s">
        <v>280</v>
      </c>
      <c r="B126" s="137" t="s">
        <v>279</v>
      </c>
      <c r="C126" s="136" t="s">
        <v>278</v>
      </c>
      <c r="D126" s="136" t="s">
        <v>252</v>
      </c>
      <c r="E126" s="155">
        <v>4000</v>
      </c>
      <c r="F126" s="135">
        <v>19932.28</v>
      </c>
      <c r="G126" s="134">
        <v>1.4E-3</v>
      </c>
      <c r="H126" s="154">
        <v>6.2003999999999997E-2</v>
      </c>
      <c r="I126" s="133"/>
    </row>
    <row r="127" spans="1:9" ht="13" customHeight="1" x14ac:dyDescent="0.25">
      <c r="A127" s="138" t="s">
        <v>277</v>
      </c>
      <c r="B127" s="137" t="s">
        <v>276</v>
      </c>
      <c r="C127" s="136" t="s">
        <v>275</v>
      </c>
      <c r="D127" s="136" t="s">
        <v>259</v>
      </c>
      <c r="E127" s="155">
        <v>4000</v>
      </c>
      <c r="F127" s="135">
        <v>19792.28</v>
      </c>
      <c r="G127" s="134">
        <v>1.2999999999999999E-3</v>
      </c>
      <c r="H127" s="154">
        <v>6.9649000000000003E-2</v>
      </c>
      <c r="I127" s="133"/>
    </row>
    <row r="128" spans="1:9" ht="13" customHeight="1" x14ac:dyDescent="0.25">
      <c r="A128" s="138" t="s">
        <v>274</v>
      </c>
      <c r="B128" s="137" t="s">
        <v>273</v>
      </c>
      <c r="C128" s="136" t="s">
        <v>272</v>
      </c>
      <c r="D128" s="136" t="s">
        <v>252</v>
      </c>
      <c r="E128" s="155">
        <v>3000</v>
      </c>
      <c r="F128" s="135">
        <v>14959.44</v>
      </c>
      <c r="G128" s="134">
        <v>1E-3</v>
      </c>
      <c r="H128" s="154">
        <v>6.1851999999999997E-2</v>
      </c>
      <c r="I128" s="133"/>
    </row>
    <row r="129" spans="1:9" ht="13" customHeight="1" x14ac:dyDescent="0.25">
      <c r="A129" s="138" t="s">
        <v>271</v>
      </c>
      <c r="B129" s="137" t="s">
        <v>270</v>
      </c>
      <c r="C129" s="136" t="s">
        <v>269</v>
      </c>
      <c r="D129" s="136" t="s">
        <v>252</v>
      </c>
      <c r="E129" s="155">
        <v>3000</v>
      </c>
      <c r="F129" s="135">
        <v>14947.34</v>
      </c>
      <c r="G129" s="134">
        <v>1E-3</v>
      </c>
      <c r="H129" s="154">
        <v>6.1247999999999997E-2</v>
      </c>
      <c r="I129" s="133"/>
    </row>
    <row r="130" spans="1:9" ht="13" customHeight="1" x14ac:dyDescent="0.25">
      <c r="A130" s="138" t="s">
        <v>268</v>
      </c>
      <c r="B130" s="137" t="s">
        <v>267</v>
      </c>
      <c r="C130" s="136" t="s">
        <v>266</v>
      </c>
      <c r="D130" s="136" t="s">
        <v>252</v>
      </c>
      <c r="E130" s="155">
        <v>2500</v>
      </c>
      <c r="F130" s="135">
        <v>12453.46</v>
      </c>
      <c r="G130" s="134">
        <v>8.0000000000000004E-4</v>
      </c>
      <c r="H130" s="154">
        <v>6.1998999999999999E-2</v>
      </c>
      <c r="I130" s="133"/>
    </row>
    <row r="131" spans="1:9" ht="13" customHeight="1" x14ac:dyDescent="0.25">
      <c r="A131" s="138" t="s">
        <v>265</v>
      </c>
      <c r="B131" s="137" t="s">
        <v>264</v>
      </c>
      <c r="C131" s="136" t="s">
        <v>263</v>
      </c>
      <c r="D131" s="136" t="s">
        <v>252</v>
      </c>
      <c r="E131" s="155">
        <v>2000</v>
      </c>
      <c r="F131" s="135">
        <v>9320.74</v>
      </c>
      <c r="G131" s="134">
        <v>5.9999999999999995E-4</v>
      </c>
      <c r="H131" s="154">
        <v>7.5999999999999998E-2</v>
      </c>
      <c r="I131" s="133"/>
    </row>
    <row r="132" spans="1:9" ht="13" customHeight="1" x14ac:dyDescent="0.25">
      <c r="A132" s="138" t="s">
        <v>262</v>
      </c>
      <c r="B132" s="137" t="s">
        <v>261</v>
      </c>
      <c r="C132" s="136" t="s">
        <v>260</v>
      </c>
      <c r="D132" s="136" t="s">
        <v>259</v>
      </c>
      <c r="E132" s="155">
        <v>1000</v>
      </c>
      <c r="F132" s="135">
        <v>4939.46</v>
      </c>
      <c r="G132" s="134">
        <v>2.9999999999999997E-4</v>
      </c>
      <c r="H132" s="154">
        <v>6.9900000000000004E-2</v>
      </c>
      <c r="I132" s="133"/>
    </row>
    <row r="133" spans="1:9" ht="13" customHeight="1" x14ac:dyDescent="0.25">
      <c r="A133" s="138" t="s">
        <v>258</v>
      </c>
      <c r="B133" s="137" t="s">
        <v>257</v>
      </c>
      <c r="C133" s="136" t="s">
        <v>256</v>
      </c>
      <c r="D133" s="136" t="s">
        <v>252</v>
      </c>
      <c r="E133" s="155">
        <v>1000</v>
      </c>
      <c r="F133" s="135">
        <v>4932.74</v>
      </c>
      <c r="G133" s="134">
        <v>2.9999999999999997E-4</v>
      </c>
      <c r="H133" s="154">
        <v>6.3813999999999996E-2</v>
      </c>
      <c r="I133" s="133"/>
    </row>
    <row r="134" spans="1:9" ht="13" customHeight="1" x14ac:dyDescent="0.25">
      <c r="A134" s="138" t="s">
        <v>255</v>
      </c>
      <c r="B134" s="137" t="s">
        <v>254</v>
      </c>
      <c r="C134" s="136" t="s">
        <v>253</v>
      </c>
      <c r="D134" s="136" t="s">
        <v>252</v>
      </c>
      <c r="E134" s="155">
        <v>500</v>
      </c>
      <c r="F134" s="135">
        <v>2487.65</v>
      </c>
      <c r="G134" s="134">
        <v>2.0000000000000001E-4</v>
      </c>
      <c r="H134" s="154">
        <v>6.7099000000000006E-2</v>
      </c>
      <c r="I134" s="133"/>
    </row>
    <row r="135" spans="1:9" ht="13" customHeight="1" x14ac:dyDescent="0.25">
      <c r="A135" s="122"/>
      <c r="B135" s="132" t="s">
        <v>141</v>
      </c>
      <c r="C135" s="131"/>
      <c r="D135" s="131"/>
      <c r="E135" s="131"/>
      <c r="F135" s="130">
        <v>217699.79</v>
      </c>
      <c r="G135" s="129">
        <v>1.47E-2</v>
      </c>
      <c r="H135" s="151"/>
      <c r="I135" s="128"/>
    </row>
    <row r="136" spans="1:9" ht="13" customHeight="1" x14ac:dyDescent="0.25">
      <c r="A136" s="122"/>
      <c r="B136" s="140" t="s">
        <v>251</v>
      </c>
      <c r="C136" s="136"/>
      <c r="D136" s="136"/>
      <c r="E136" s="136"/>
      <c r="F136" s="122"/>
      <c r="G136" s="139"/>
      <c r="H136" s="139"/>
      <c r="I136" s="133"/>
    </row>
    <row r="137" spans="1:9" ht="13" customHeight="1" x14ac:dyDescent="0.25">
      <c r="A137" s="138" t="s">
        <v>250</v>
      </c>
      <c r="B137" s="137" t="s">
        <v>249</v>
      </c>
      <c r="C137" s="136" t="s">
        <v>248</v>
      </c>
      <c r="D137" s="136" t="s">
        <v>241</v>
      </c>
      <c r="E137" s="155">
        <v>35000000</v>
      </c>
      <c r="F137" s="135">
        <v>34785.629999999997</v>
      </c>
      <c r="G137" s="134">
        <v>2.3999999999999998E-3</v>
      </c>
      <c r="H137" s="154">
        <v>5.1126999999999999E-2</v>
      </c>
      <c r="I137" s="133"/>
    </row>
    <row r="138" spans="1:9" ht="13" customHeight="1" x14ac:dyDescent="0.25">
      <c r="A138" s="138" t="s">
        <v>247</v>
      </c>
      <c r="B138" s="137" t="s">
        <v>246</v>
      </c>
      <c r="C138" s="136" t="s">
        <v>245</v>
      </c>
      <c r="D138" s="136" t="s">
        <v>241</v>
      </c>
      <c r="E138" s="155">
        <v>20500000</v>
      </c>
      <c r="F138" s="135">
        <v>20083.21</v>
      </c>
      <c r="G138" s="134">
        <v>1.4E-3</v>
      </c>
      <c r="H138" s="154">
        <v>5.5697000000000003E-2</v>
      </c>
      <c r="I138" s="133"/>
    </row>
    <row r="139" spans="1:9" ht="13" customHeight="1" x14ac:dyDescent="0.25">
      <c r="A139" s="138" t="s">
        <v>244</v>
      </c>
      <c r="B139" s="137" t="s">
        <v>243</v>
      </c>
      <c r="C139" s="136" t="s">
        <v>242</v>
      </c>
      <c r="D139" s="136" t="s">
        <v>241</v>
      </c>
      <c r="E139" s="155">
        <v>11000000</v>
      </c>
      <c r="F139" s="135">
        <v>10499.18</v>
      </c>
      <c r="G139" s="134">
        <v>6.9999999999999999E-4</v>
      </c>
      <c r="H139" s="154">
        <v>5.7461999999999999E-2</v>
      </c>
      <c r="I139" s="133"/>
    </row>
    <row r="140" spans="1:9" ht="13" customHeight="1" x14ac:dyDescent="0.25">
      <c r="A140" s="122"/>
      <c r="B140" s="132" t="s">
        <v>141</v>
      </c>
      <c r="C140" s="131"/>
      <c r="D140" s="131"/>
      <c r="E140" s="131"/>
      <c r="F140" s="130">
        <v>65368.02</v>
      </c>
      <c r="G140" s="129">
        <v>4.4999999999999997E-3</v>
      </c>
      <c r="H140" s="151"/>
      <c r="I140" s="128"/>
    </row>
    <row r="141" spans="1:9" ht="13" customHeight="1" x14ac:dyDescent="0.25">
      <c r="A141" s="122"/>
      <c r="B141" s="132" t="s">
        <v>140</v>
      </c>
      <c r="C141" s="153"/>
      <c r="D141" s="131"/>
      <c r="E141" s="153"/>
      <c r="F141" s="130">
        <v>869209.15</v>
      </c>
      <c r="G141" s="129">
        <v>5.91E-2</v>
      </c>
      <c r="H141" s="151"/>
      <c r="I141" s="128"/>
    </row>
    <row r="142" spans="1:9" ht="13" customHeight="1" x14ac:dyDescent="0.25">
      <c r="A142" s="122"/>
      <c r="B142" s="140" t="s">
        <v>240</v>
      </c>
      <c r="C142" s="136"/>
      <c r="D142" s="136"/>
      <c r="E142" s="136"/>
      <c r="F142" s="136"/>
      <c r="G142" s="136"/>
      <c r="H142" s="139"/>
      <c r="I142" s="133"/>
    </row>
    <row r="143" spans="1:9" ht="13" customHeight="1" x14ac:dyDescent="0.25">
      <c r="A143" s="122"/>
      <c r="B143" s="140" t="s">
        <v>239</v>
      </c>
      <c r="C143" s="136"/>
      <c r="D143" s="136"/>
      <c r="E143" s="136"/>
      <c r="F143" s="122"/>
      <c r="G143" s="139"/>
      <c r="H143" s="139"/>
      <c r="I143" s="133"/>
    </row>
    <row r="144" spans="1:9" ht="13" customHeight="1" x14ac:dyDescent="0.25">
      <c r="A144" s="138" t="s">
        <v>238</v>
      </c>
      <c r="B144" s="137" t="s">
        <v>237</v>
      </c>
      <c r="C144" s="136" t="s">
        <v>236</v>
      </c>
      <c r="D144" s="136" t="s">
        <v>233</v>
      </c>
      <c r="E144" s="155">
        <v>3606676.67</v>
      </c>
      <c r="F144" s="135">
        <v>56532.63</v>
      </c>
      <c r="G144" s="134">
        <v>3.8E-3</v>
      </c>
      <c r="H144" s="154"/>
      <c r="I144" s="133"/>
    </row>
    <row r="145" spans="1:9" ht="13" customHeight="1" x14ac:dyDescent="0.25">
      <c r="A145" s="122"/>
      <c r="B145" s="132" t="s">
        <v>141</v>
      </c>
      <c r="C145" s="131"/>
      <c r="D145" s="131"/>
      <c r="E145" s="131"/>
      <c r="F145" s="130">
        <v>56532.63</v>
      </c>
      <c r="G145" s="129">
        <v>3.8E-3</v>
      </c>
      <c r="H145" s="151"/>
      <c r="I145" s="128"/>
    </row>
    <row r="146" spans="1:9" ht="13" customHeight="1" x14ac:dyDescent="0.25">
      <c r="A146" s="122"/>
      <c r="B146" s="140" t="s">
        <v>235</v>
      </c>
      <c r="C146" s="136"/>
      <c r="D146" s="136"/>
      <c r="E146" s="136"/>
      <c r="F146" s="136"/>
      <c r="G146" s="136"/>
      <c r="H146" s="139"/>
      <c r="I146" s="133"/>
    </row>
    <row r="147" spans="1:9" ht="13" customHeight="1" x14ac:dyDescent="0.25">
      <c r="A147" s="138" t="s">
        <v>234</v>
      </c>
      <c r="B147" s="137" t="s">
        <v>234</v>
      </c>
      <c r="C147" s="136"/>
      <c r="D147" s="136" t="s">
        <v>233</v>
      </c>
      <c r="E147" s="155"/>
      <c r="F147" s="135">
        <v>715265</v>
      </c>
      <c r="G147" s="134">
        <v>4.8500000000000001E-2</v>
      </c>
      <c r="H147" s="154">
        <v>4.9121182557286487E-2</v>
      </c>
      <c r="I147" s="133"/>
    </row>
    <row r="148" spans="1:9" ht="13" customHeight="1" x14ac:dyDescent="0.25">
      <c r="A148" s="122"/>
      <c r="B148" s="132" t="s">
        <v>141</v>
      </c>
      <c r="C148" s="131"/>
      <c r="D148" s="131"/>
      <c r="E148" s="131"/>
      <c r="F148" s="130">
        <v>715265</v>
      </c>
      <c r="G148" s="129">
        <v>4.8500000000000001E-2</v>
      </c>
      <c r="H148" s="151"/>
      <c r="I148" s="128"/>
    </row>
    <row r="149" spans="1:9" ht="13" customHeight="1" x14ac:dyDescent="0.25">
      <c r="A149" s="122"/>
      <c r="B149" s="132" t="s">
        <v>140</v>
      </c>
      <c r="C149" s="153"/>
      <c r="D149" s="131"/>
      <c r="E149" s="153"/>
      <c r="F149" s="130">
        <v>715265</v>
      </c>
      <c r="G149" s="129">
        <v>4.8500000000000001E-2</v>
      </c>
      <c r="H149" s="151"/>
      <c r="I149" s="128"/>
    </row>
    <row r="150" spans="1:9" ht="13" customHeight="1" x14ac:dyDescent="0.25">
      <c r="A150" s="122"/>
      <c r="B150" s="132" t="s">
        <v>232</v>
      </c>
      <c r="C150" s="136"/>
      <c r="D150" s="131"/>
      <c r="E150" s="136"/>
      <c r="F150" s="152">
        <f>67929.96+E198-55.15</f>
        <v>-210599.10999999996</v>
      </c>
      <c r="G150" s="129">
        <f>0.46%+F198</f>
        <v>-1.44E-2</v>
      </c>
      <c r="H150" s="151"/>
      <c r="I150" s="128"/>
    </row>
    <row r="151" spans="1:9" ht="13" customHeight="1" x14ac:dyDescent="0.25">
      <c r="A151" s="122"/>
      <c r="B151" s="150" t="s">
        <v>231</v>
      </c>
      <c r="C151" s="126"/>
      <c r="D151" s="126"/>
      <c r="E151" s="126"/>
      <c r="F151" s="149">
        <v>14740450.66</v>
      </c>
      <c r="G151" s="148">
        <v>1</v>
      </c>
      <c r="H151" s="147"/>
      <c r="I151" s="146"/>
    </row>
    <row r="153" spans="1:9" ht="13" customHeight="1" x14ac:dyDescent="0.25">
      <c r="A153" s="122"/>
      <c r="B153" s="145" t="s">
        <v>230</v>
      </c>
      <c r="C153" s="119"/>
      <c r="D153" s="119"/>
      <c r="E153" s="119"/>
      <c r="F153" s="119"/>
      <c r="G153" s="119"/>
      <c r="H153" s="144"/>
      <c r="I153" s="144"/>
    </row>
    <row r="154" spans="1:9" ht="13" customHeight="1" x14ac:dyDescent="0.25">
      <c r="A154" s="122"/>
      <c r="B154" s="143" t="s">
        <v>229</v>
      </c>
      <c r="C154" s="143" t="s">
        <v>228</v>
      </c>
      <c r="D154" s="143" t="s">
        <v>227</v>
      </c>
      <c r="E154" s="142" t="s">
        <v>226</v>
      </c>
      <c r="F154" s="141" t="s">
        <v>225</v>
      </c>
      <c r="G154" s="141" t="s">
        <v>224</v>
      </c>
      <c r="H154" s="122"/>
    </row>
    <row r="155" spans="1:9" ht="13" customHeight="1" x14ac:dyDescent="0.25">
      <c r="A155" s="122"/>
      <c r="B155" s="143" t="s">
        <v>223</v>
      </c>
      <c r="C155" s="143"/>
      <c r="D155" s="143"/>
      <c r="E155" s="142"/>
      <c r="F155" s="141"/>
      <c r="G155" s="141"/>
      <c r="H155" s="122"/>
    </row>
    <row r="156" spans="1:9" ht="13" customHeight="1" x14ac:dyDescent="0.25">
      <c r="A156" s="138" t="s">
        <v>222</v>
      </c>
      <c r="B156" s="137" t="s">
        <v>221</v>
      </c>
      <c r="C156" s="136" t="s">
        <v>168</v>
      </c>
      <c r="D156" s="135">
        <v>-5340000</v>
      </c>
      <c r="E156" s="135">
        <v>-57175.38</v>
      </c>
      <c r="F156" s="134">
        <v>-3.8999999999999998E-3</v>
      </c>
      <c r="G156" s="133"/>
      <c r="H156" s="122"/>
    </row>
    <row r="157" spans="1:9" ht="13" customHeight="1" x14ac:dyDescent="0.25">
      <c r="A157" s="138" t="s">
        <v>220</v>
      </c>
      <c r="B157" s="137" t="s">
        <v>219</v>
      </c>
      <c r="C157" s="136" t="s">
        <v>168</v>
      </c>
      <c r="D157" s="135">
        <v>-4061000</v>
      </c>
      <c r="E157" s="135">
        <v>-52837.67</v>
      </c>
      <c r="F157" s="134">
        <v>-3.5999999999999999E-3</v>
      </c>
      <c r="G157" s="133"/>
      <c r="H157" s="122"/>
    </row>
    <row r="158" spans="1:9" ht="13" customHeight="1" x14ac:dyDescent="0.25">
      <c r="A158" s="138" t="s">
        <v>218</v>
      </c>
      <c r="B158" s="137" t="s">
        <v>217</v>
      </c>
      <c r="C158" s="136" t="s">
        <v>168</v>
      </c>
      <c r="D158" s="135">
        <v>-933450</v>
      </c>
      <c r="E158" s="135">
        <v>-18088.39</v>
      </c>
      <c r="F158" s="134">
        <v>-1.1999999999999999E-3</v>
      </c>
      <c r="G158" s="133"/>
      <c r="H158" s="122"/>
    </row>
    <row r="159" spans="1:9" ht="13" customHeight="1" x14ac:dyDescent="0.25">
      <c r="A159" s="138" t="s">
        <v>216</v>
      </c>
      <c r="B159" s="137" t="s">
        <v>215</v>
      </c>
      <c r="C159" s="136" t="s">
        <v>168</v>
      </c>
      <c r="D159" s="135">
        <v>-321600</v>
      </c>
      <c r="E159" s="135">
        <v>-15571.87</v>
      </c>
      <c r="F159" s="134">
        <v>-1.1000000000000001E-3</v>
      </c>
      <c r="G159" s="133"/>
      <c r="H159" s="122"/>
    </row>
    <row r="160" spans="1:9" ht="13" customHeight="1" x14ac:dyDescent="0.25">
      <c r="A160" s="138" t="s">
        <v>214</v>
      </c>
      <c r="B160" s="137" t="s">
        <v>213</v>
      </c>
      <c r="C160" s="136" t="s">
        <v>168</v>
      </c>
      <c r="D160" s="135">
        <v>-11130750</v>
      </c>
      <c r="E160" s="135">
        <v>-14119.36</v>
      </c>
      <c r="F160" s="134">
        <v>-1E-3</v>
      </c>
      <c r="G160" s="133"/>
      <c r="H160" s="122"/>
    </row>
    <row r="161" spans="1:8" ht="13" customHeight="1" x14ac:dyDescent="0.25">
      <c r="A161" s="138" t="s">
        <v>212</v>
      </c>
      <c r="B161" s="137" t="s">
        <v>211</v>
      </c>
      <c r="C161" s="136" t="s">
        <v>168</v>
      </c>
      <c r="D161" s="135">
        <v>-135900</v>
      </c>
      <c r="E161" s="135">
        <v>-12573.47</v>
      </c>
      <c r="F161" s="134">
        <v>-8.9999999999999998E-4</v>
      </c>
      <c r="G161" s="133"/>
      <c r="H161" s="122"/>
    </row>
    <row r="162" spans="1:8" ht="13" customHeight="1" x14ac:dyDescent="0.25">
      <c r="A162" s="138" t="s">
        <v>210</v>
      </c>
      <c r="B162" s="137" t="s">
        <v>209</v>
      </c>
      <c r="C162" s="136" t="s">
        <v>168</v>
      </c>
      <c r="D162" s="135">
        <v>-1233000</v>
      </c>
      <c r="E162" s="135">
        <v>-12987.19</v>
      </c>
      <c r="F162" s="134">
        <v>-8.9999999999999998E-4</v>
      </c>
      <c r="G162" s="133"/>
      <c r="H162" s="122"/>
    </row>
    <row r="163" spans="1:8" ht="13" customHeight="1" x14ac:dyDescent="0.25">
      <c r="A163" s="138" t="s">
        <v>208</v>
      </c>
      <c r="B163" s="137" t="s">
        <v>207</v>
      </c>
      <c r="C163" s="136" t="s">
        <v>168</v>
      </c>
      <c r="D163" s="135">
        <v>-99100</v>
      </c>
      <c r="E163" s="135">
        <v>-11483.71</v>
      </c>
      <c r="F163" s="134">
        <v>-8.0000000000000004E-4</v>
      </c>
      <c r="G163" s="133"/>
      <c r="H163" s="122"/>
    </row>
    <row r="164" spans="1:8" ht="13" customHeight="1" x14ac:dyDescent="0.25">
      <c r="A164" s="138" t="s">
        <v>206</v>
      </c>
      <c r="B164" s="137" t="s">
        <v>205</v>
      </c>
      <c r="C164" s="136" t="s">
        <v>168</v>
      </c>
      <c r="D164" s="135">
        <v>-206500</v>
      </c>
      <c r="E164" s="135">
        <v>-10711.77</v>
      </c>
      <c r="F164" s="134">
        <v>-6.9999999999999999E-4</v>
      </c>
      <c r="G164" s="133"/>
      <c r="H164" s="122"/>
    </row>
    <row r="165" spans="1:8" ht="13" customHeight="1" x14ac:dyDescent="0.25">
      <c r="A165" s="138" t="s">
        <v>204</v>
      </c>
      <c r="B165" s="137" t="s">
        <v>203</v>
      </c>
      <c r="C165" s="136" t="s">
        <v>168</v>
      </c>
      <c r="D165" s="135">
        <v>-846300</v>
      </c>
      <c r="E165" s="135">
        <v>-8684.31</v>
      </c>
      <c r="F165" s="134">
        <v>-5.9999999999999995E-4</v>
      </c>
      <c r="G165" s="133"/>
      <c r="H165" s="122"/>
    </row>
    <row r="166" spans="1:8" ht="13" customHeight="1" x14ac:dyDescent="0.25">
      <c r="A166" s="138" t="s">
        <v>202</v>
      </c>
      <c r="B166" s="137" t="s">
        <v>201</v>
      </c>
      <c r="C166" s="136" t="s">
        <v>168</v>
      </c>
      <c r="D166" s="135">
        <v>-3660250</v>
      </c>
      <c r="E166" s="135">
        <v>-6707.04</v>
      </c>
      <c r="F166" s="134">
        <v>-5.0000000000000001E-4</v>
      </c>
      <c r="G166" s="133"/>
      <c r="H166" s="122"/>
    </row>
    <row r="167" spans="1:8" ht="13" customHeight="1" x14ac:dyDescent="0.25">
      <c r="A167" s="138" t="s">
        <v>200</v>
      </c>
      <c r="B167" s="137" t="s">
        <v>199</v>
      </c>
      <c r="C167" s="136" t="s">
        <v>168</v>
      </c>
      <c r="D167" s="135">
        <v>-3334500</v>
      </c>
      <c r="E167" s="135">
        <v>-7774.72</v>
      </c>
      <c r="F167" s="134">
        <v>-5.0000000000000001E-4</v>
      </c>
      <c r="G167" s="133"/>
      <c r="H167" s="122"/>
    </row>
    <row r="168" spans="1:8" ht="13" customHeight="1" x14ac:dyDescent="0.25">
      <c r="A168" s="138" t="s">
        <v>198</v>
      </c>
      <c r="B168" s="137" t="s">
        <v>197</v>
      </c>
      <c r="C168" s="136" t="s">
        <v>168</v>
      </c>
      <c r="D168" s="135">
        <v>-163000</v>
      </c>
      <c r="E168" s="135">
        <v>-5437.52</v>
      </c>
      <c r="F168" s="134">
        <v>-4.0000000000000002E-4</v>
      </c>
      <c r="G168" s="133"/>
      <c r="H168" s="122"/>
    </row>
    <row r="169" spans="1:8" ht="13" customHeight="1" x14ac:dyDescent="0.25">
      <c r="A169" s="138" t="s">
        <v>196</v>
      </c>
      <c r="B169" s="137" t="s">
        <v>195</v>
      </c>
      <c r="C169" s="136" t="s">
        <v>168</v>
      </c>
      <c r="D169" s="135">
        <v>-117950</v>
      </c>
      <c r="E169" s="135">
        <v>-6085.98</v>
      </c>
      <c r="F169" s="134">
        <v>-4.0000000000000002E-4</v>
      </c>
      <c r="G169" s="133"/>
      <c r="H169" s="122"/>
    </row>
    <row r="170" spans="1:8" ht="13" customHeight="1" x14ac:dyDescent="0.25">
      <c r="A170" s="138" t="s">
        <v>194</v>
      </c>
      <c r="B170" s="137" t="s">
        <v>193</v>
      </c>
      <c r="C170" s="136" t="s">
        <v>168</v>
      </c>
      <c r="D170" s="135">
        <v>-1484850</v>
      </c>
      <c r="E170" s="135">
        <v>-6162.13</v>
      </c>
      <c r="F170" s="134">
        <v>-4.0000000000000002E-4</v>
      </c>
      <c r="G170" s="133"/>
      <c r="H170" s="122"/>
    </row>
    <row r="171" spans="1:8" ht="13" customHeight="1" x14ac:dyDescent="0.25">
      <c r="A171" s="138" t="s">
        <v>192</v>
      </c>
      <c r="B171" s="137" t="s">
        <v>191</v>
      </c>
      <c r="C171" s="136" t="s">
        <v>168</v>
      </c>
      <c r="D171" s="135">
        <v>-316500</v>
      </c>
      <c r="E171" s="135">
        <v>-6364.18</v>
      </c>
      <c r="F171" s="134">
        <v>-4.0000000000000002E-4</v>
      </c>
      <c r="G171" s="133"/>
      <c r="H171" s="122"/>
    </row>
    <row r="172" spans="1:8" ht="13" customHeight="1" x14ac:dyDescent="0.25">
      <c r="A172" s="138" t="s">
        <v>190</v>
      </c>
      <c r="B172" s="137" t="s">
        <v>189</v>
      </c>
      <c r="C172" s="136" t="s">
        <v>168</v>
      </c>
      <c r="D172" s="135">
        <v>-96950</v>
      </c>
      <c r="E172" s="135">
        <v>-4211.3100000000004</v>
      </c>
      <c r="F172" s="134">
        <v>-2.9999999999999997E-4</v>
      </c>
      <c r="G172" s="133"/>
      <c r="H172" s="122"/>
    </row>
    <row r="173" spans="1:8" ht="13" customHeight="1" x14ac:dyDescent="0.25">
      <c r="A173" s="138" t="s">
        <v>188</v>
      </c>
      <c r="B173" s="137" t="s">
        <v>187</v>
      </c>
      <c r="C173" s="136" t="s">
        <v>168</v>
      </c>
      <c r="D173" s="135">
        <v>-54600</v>
      </c>
      <c r="E173" s="135">
        <v>-4386.0200000000004</v>
      </c>
      <c r="F173" s="134">
        <v>-2.9999999999999997E-4</v>
      </c>
      <c r="G173" s="133"/>
      <c r="H173" s="122"/>
    </row>
    <row r="174" spans="1:8" ht="13" customHeight="1" x14ac:dyDescent="0.25">
      <c r="A174" s="138" t="s">
        <v>186</v>
      </c>
      <c r="B174" s="137" t="s">
        <v>185</v>
      </c>
      <c r="C174" s="136" t="s">
        <v>168</v>
      </c>
      <c r="D174" s="135">
        <v>-492100</v>
      </c>
      <c r="E174" s="135">
        <v>-4934.78</v>
      </c>
      <c r="F174" s="134">
        <v>-2.9999999999999997E-4</v>
      </c>
      <c r="G174" s="133"/>
      <c r="H174" s="122"/>
    </row>
    <row r="175" spans="1:8" ht="13" customHeight="1" x14ac:dyDescent="0.25">
      <c r="A175" s="138" t="s">
        <v>184</v>
      </c>
      <c r="B175" s="137" t="s">
        <v>183</v>
      </c>
      <c r="C175" s="136" t="s">
        <v>168</v>
      </c>
      <c r="D175" s="135">
        <v>-2801050</v>
      </c>
      <c r="E175" s="135">
        <v>-2373.89</v>
      </c>
      <c r="F175" s="134">
        <v>-2.0000000000000001E-4</v>
      </c>
      <c r="G175" s="133"/>
      <c r="H175" s="122"/>
    </row>
    <row r="176" spans="1:8" ht="13" customHeight="1" x14ac:dyDescent="0.25">
      <c r="A176" s="138" t="s">
        <v>182</v>
      </c>
      <c r="B176" s="137" t="s">
        <v>181</v>
      </c>
      <c r="C176" s="136" t="s">
        <v>168</v>
      </c>
      <c r="D176" s="135">
        <v>-1345000</v>
      </c>
      <c r="E176" s="135">
        <v>-2381.73</v>
      </c>
      <c r="F176" s="134">
        <v>-2.0000000000000001E-4</v>
      </c>
      <c r="G176" s="133"/>
      <c r="H176" s="122"/>
    </row>
    <row r="177" spans="1:8" ht="13" customHeight="1" x14ac:dyDescent="0.25">
      <c r="A177" s="138" t="s">
        <v>180</v>
      </c>
      <c r="B177" s="137" t="s">
        <v>179</v>
      </c>
      <c r="C177" s="136" t="s">
        <v>168</v>
      </c>
      <c r="D177" s="135">
        <v>-178500</v>
      </c>
      <c r="E177" s="135">
        <v>-3577.68</v>
      </c>
      <c r="F177" s="134">
        <v>-2.0000000000000001E-4</v>
      </c>
      <c r="G177" s="133"/>
      <c r="H177" s="122"/>
    </row>
    <row r="178" spans="1:8" ht="13" customHeight="1" x14ac:dyDescent="0.25">
      <c r="A178" s="138" t="s">
        <v>178</v>
      </c>
      <c r="B178" s="137" t="s">
        <v>177</v>
      </c>
      <c r="C178" s="136" t="s">
        <v>168</v>
      </c>
      <c r="D178" s="135">
        <v>-13150</v>
      </c>
      <c r="E178" s="135">
        <v>-1530</v>
      </c>
      <c r="F178" s="134">
        <v>-1E-4</v>
      </c>
      <c r="G178" s="133"/>
      <c r="H178" s="122"/>
    </row>
    <row r="179" spans="1:8" ht="13" customHeight="1" x14ac:dyDescent="0.25">
      <c r="A179" s="138" t="s">
        <v>176</v>
      </c>
      <c r="B179" s="137" t="s">
        <v>175</v>
      </c>
      <c r="C179" s="136" t="s">
        <v>168</v>
      </c>
      <c r="D179" s="135">
        <v>-120150</v>
      </c>
      <c r="E179" s="135">
        <v>-1593.19</v>
      </c>
      <c r="F179" s="134">
        <v>-1E-4</v>
      </c>
      <c r="G179" s="133"/>
      <c r="H179" s="122"/>
    </row>
    <row r="180" spans="1:8" ht="13" customHeight="1" x14ac:dyDescent="0.25">
      <c r="A180" s="138" t="s">
        <v>174</v>
      </c>
      <c r="B180" s="137" t="s">
        <v>173</v>
      </c>
      <c r="C180" s="136" t="s">
        <v>168</v>
      </c>
      <c r="D180" s="135">
        <v>-5375</v>
      </c>
      <c r="E180" s="135">
        <v>-28.49</v>
      </c>
      <c r="F180" s="134" t="s">
        <v>142</v>
      </c>
      <c r="G180" s="133"/>
      <c r="H180" s="122"/>
    </row>
    <row r="181" spans="1:8" ht="13" customHeight="1" x14ac:dyDescent="0.25">
      <c r="A181" s="138" t="s">
        <v>172</v>
      </c>
      <c r="B181" s="137" t="s">
        <v>171</v>
      </c>
      <c r="C181" s="136" t="s">
        <v>168</v>
      </c>
      <c r="D181" s="135">
        <v>-5100</v>
      </c>
      <c r="E181" s="135">
        <v>-110.69</v>
      </c>
      <c r="F181" s="134" t="s">
        <v>142</v>
      </c>
      <c r="G181" s="133"/>
      <c r="H181" s="122"/>
    </row>
    <row r="182" spans="1:8" ht="13" customHeight="1" x14ac:dyDescent="0.25">
      <c r="A182" s="138" t="s">
        <v>170</v>
      </c>
      <c r="B182" s="137" t="s">
        <v>169</v>
      </c>
      <c r="C182" s="136" t="s">
        <v>168</v>
      </c>
      <c r="D182" s="135">
        <v>-40150</v>
      </c>
      <c r="E182" s="135">
        <v>-420.25</v>
      </c>
      <c r="F182" s="134" t="s">
        <v>142</v>
      </c>
      <c r="G182" s="133"/>
      <c r="H182" s="122"/>
    </row>
    <row r="183" spans="1:8" ht="13" customHeight="1" x14ac:dyDescent="0.25">
      <c r="A183" s="122"/>
      <c r="B183" s="132" t="s">
        <v>141</v>
      </c>
      <c r="C183" s="131"/>
      <c r="D183" s="130"/>
      <c r="E183" s="130">
        <v>-278312.71999999997</v>
      </c>
      <c r="F183" s="129">
        <v>-1.9E-2</v>
      </c>
      <c r="G183" s="128"/>
      <c r="H183" s="122"/>
    </row>
    <row r="184" spans="1:8" ht="13" customHeight="1" x14ac:dyDescent="0.25">
      <c r="A184" s="122"/>
      <c r="B184" s="140" t="s">
        <v>167</v>
      </c>
      <c r="C184" s="136"/>
      <c r="D184" s="122"/>
      <c r="E184" s="122"/>
      <c r="F184" s="139"/>
      <c r="G184" s="133"/>
      <c r="H184" s="122"/>
    </row>
    <row r="185" spans="1:8" ht="13" customHeight="1" x14ac:dyDescent="0.25">
      <c r="A185" s="138" t="s">
        <v>166</v>
      </c>
      <c r="B185" s="137" t="s">
        <v>165</v>
      </c>
      <c r="C185" s="136"/>
      <c r="D185" s="135">
        <v>-342000</v>
      </c>
      <c r="E185" s="135">
        <v>-1.03</v>
      </c>
      <c r="F185" s="134" t="s">
        <v>142</v>
      </c>
      <c r="G185" s="133"/>
      <c r="H185" s="122"/>
    </row>
    <row r="186" spans="1:8" ht="13" customHeight="1" x14ac:dyDescent="0.25">
      <c r="A186" s="138" t="s">
        <v>164</v>
      </c>
      <c r="B186" s="137" t="s">
        <v>163</v>
      </c>
      <c r="C186" s="136"/>
      <c r="D186" s="135">
        <v>-197100</v>
      </c>
      <c r="E186" s="135">
        <v>-1.58</v>
      </c>
      <c r="F186" s="134" t="s">
        <v>142</v>
      </c>
      <c r="G186" s="133"/>
      <c r="H186" s="122"/>
    </row>
    <row r="187" spans="1:8" ht="13" customHeight="1" x14ac:dyDescent="0.25">
      <c r="A187" s="138" t="s">
        <v>162</v>
      </c>
      <c r="B187" s="137" t="s">
        <v>161</v>
      </c>
      <c r="C187" s="136"/>
      <c r="D187" s="135">
        <v>-340000</v>
      </c>
      <c r="E187" s="135">
        <v>-7.65</v>
      </c>
      <c r="F187" s="134" t="s">
        <v>142</v>
      </c>
      <c r="G187" s="133"/>
      <c r="H187" s="122"/>
    </row>
    <row r="188" spans="1:8" ht="13" customHeight="1" x14ac:dyDescent="0.25">
      <c r="A188" s="138" t="s">
        <v>160</v>
      </c>
      <c r="B188" s="137" t="s">
        <v>159</v>
      </c>
      <c r="C188" s="136"/>
      <c r="D188" s="135">
        <v>-187500</v>
      </c>
      <c r="E188" s="135">
        <v>-7.88</v>
      </c>
      <c r="F188" s="134" t="s">
        <v>142</v>
      </c>
      <c r="G188" s="133"/>
      <c r="H188" s="122"/>
    </row>
    <row r="189" spans="1:8" ht="13" customHeight="1" x14ac:dyDescent="0.25">
      <c r="A189" s="138" t="s">
        <v>158</v>
      </c>
      <c r="B189" s="137" t="s">
        <v>157</v>
      </c>
      <c r="C189" s="136"/>
      <c r="D189" s="135">
        <v>-127500</v>
      </c>
      <c r="E189" s="135">
        <v>-9.56</v>
      </c>
      <c r="F189" s="134" t="s">
        <v>142</v>
      </c>
      <c r="G189" s="133"/>
      <c r="H189" s="122"/>
    </row>
    <row r="190" spans="1:8" ht="13" customHeight="1" x14ac:dyDescent="0.25">
      <c r="A190" s="138" t="s">
        <v>156</v>
      </c>
      <c r="B190" s="137" t="s">
        <v>155</v>
      </c>
      <c r="C190" s="136"/>
      <c r="D190" s="135">
        <v>-366875</v>
      </c>
      <c r="E190" s="135">
        <v>-9.91</v>
      </c>
      <c r="F190" s="134" t="s">
        <v>142</v>
      </c>
      <c r="G190" s="133"/>
      <c r="H190" s="122"/>
    </row>
    <row r="191" spans="1:8" ht="13" customHeight="1" x14ac:dyDescent="0.25">
      <c r="A191" s="138" t="s">
        <v>154</v>
      </c>
      <c r="B191" s="137" t="s">
        <v>153</v>
      </c>
      <c r="C191" s="136"/>
      <c r="D191" s="135">
        <v>-257550</v>
      </c>
      <c r="E191" s="135">
        <v>-10.82</v>
      </c>
      <c r="F191" s="134" t="s">
        <v>142</v>
      </c>
      <c r="G191" s="133"/>
      <c r="H191" s="122"/>
    </row>
    <row r="192" spans="1:8" ht="13" customHeight="1" x14ac:dyDescent="0.25">
      <c r="A192" s="138" t="s">
        <v>152</v>
      </c>
      <c r="B192" s="137" t="s">
        <v>151</v>
      </c>
      <c r="C192" s="136"/>
      <c r="D192" s="135">
        <v>-2477600</v>
      </c>
      <c r="E192" s="135">
        <v>-12.39</v>
      </c>
      <c r="F192" s="134" t="s">
        <v>142</v>
      </c>
      <c r="G192" s="133"/>
      <c r="H192" s="122"/>
    </row>
    <row r="193" spans="1:9" ht="13" customHeight="1" x14ac:dyDescent="0.25">
      <c r="A193" s="138" t="s">
        <v>150</v>
      </c>
      <c r="B193" s="137" t="s">
        <v>149</v>
      </c>
      <c r="C193" s="136"/>
      <c r="D193" s="135">
        <v>-1086750</v>
      </c>
      <c r="E193" s="135">
        <v>-13.04</v>
      </c>
      <c r="F193" s="134" t="s">
        <v>142</v>
      </c>
      <c r="G193" s="133"/>
      <c r="H193" s="122"/>
    </row>
    <row r="194" spans="1:9" ht="13" customHeight="1" x14ac:dyDescent="0.25">
      <c r="A194" s="138" t="s">
        <v>148</v>
      </c>
      <c r="B194" s="137" t="s">
        <v>147</v>
      </c>
      <c r="C194" s="136"/>
      <c r="D194" s="135">
        <v>-35050</v>
      </c>
      <c r="E194" s="135">
        <v>-13.69</v>
      </c>
      <c r="F194" s="134" t="s">
        <v>142</v>
      </c>
      <c r="G194" s="133"/>
      <c r="H194" s="122"/>
    </row>
    <row r="195" spans="1:9" ht="13" customHeight="1" x14ac:dyDescent="0.25">
      <c r="A195" s="138" t="s">
        <v>146</v>
      </c>
      <c r="B195" s="137" t="s">
        <v>145</v>
      </c>
      <c r="C195" s="136"/>
      <c r="D195" s="135">
        <v>-25000</v>
      </c>
      <c r="E195" s="135">
        <v>-18.66</v>
      </c>
      <c r="F195" s="134" t="s">
        <v>142</v>
      </c>
      <c r="G195" s="133"/>
      <c r="H195" s="122"/>
    </row>
    <row r="196" spans="1:9" ht="13" customHeight="1" x14ac:dyDescent="0.25">
      <c r="A196" s="138" t="s">
        <v>144</v>
      </c>
      <c r="B196" s="137" t="s">
        <v>143</v>
      </c>
      <c r="C196" s="136"/>
      <c r="D196" s="135">
        <v>-416600</v>
      </c>
      <c r="E196" s="135">
        <v>-54.99</v>
      </c>
      <c r="F196" s="134" t="s">
        <v>142</v>
      </c>
      <c r="G196" s="133"/>
      <c r="H196" s="122"/>
    </row>
    <row r="197" spans="1:9" ht="13" customHeight="1" x14ac:dyDescent="0.25">
      <c r="A197" s="122"/>
      <c r="B197" s="132" t="s">
        <v>141</v>
      </c>
      <c r="C197" s="131"/>
      <c r="D197" s="131"/>
      <c r="E197" s="130">
        <v>-161.19999999999999</v>
      </c>
      <c r="F197" s="129">
        <v>0</v>
      </c>
      <c r="G197" s="128"/>
      <c r="H197" s="122"/>
    </row>
    <row r="198" spans="1:9" ht="13" customHeight="1" x14ac:dyDescent="0.25">
      <c r="A198" s="122"/>
      <c r="B198" s="127" t="s">
        <v>140</v>
      </c>
      <c r="C198" s="126"/>
      <c r="D198" s="126"/>
      <c r="E198" s="125">
        <v>-278473.92</v>
      </c>
      <c r="F198" s="124">
        <v>-1.9E-2</v>
      </c>
      <c r="G198" s="123"/>
      <c r="H198" s="122"/>
    </row>
    <row r="199" spans="1:9" x14ac:dyDescent="0.25">
      <c r="B199" s="121"/>
      <c r="C199" s="119"/>
      <c r="D199" s="119"/>
      <c r="E199" s="119"/>
      <c r="F199" s="118"/>
      <c r="G199" s="117"/>
      <c r="H199" s="116"/>
      <c r="I199" s="116"/>
    </row>
    <row r="200" spans="1:9" x14ac:dyDescent="0.25">
      <c r="B200" s="121" t="s">
        <v>139</v>
      </c>
      <c r="C200" s="119"/>
      <c r="D200" s="119"/>
      <c r="E200" s="119"/>
      <c r="F200" s="118"/>
      <c r="G200" s="117"/>
      <c r="H200" s="116"/>
      <c r="I200" s="116"/>
    </row>
    <row r="201" spans="1:9" x14ac:dyDescent="0.25">
      <c r="B201" s="120" t="s">
        <v>138</v>
      </c>
      <c r="C201" s="119"/>
      <c r="D201" s="119"/>
      <c r="E201" s="119"/>
      <c r="F201" s="118"/>
      <c r="G201" s="117"/>
      <c r="H201" s="116"/>
      <c r="I201" s="116"/>
    </row>
    <row r="202" spans="1:9" x14ac:dyDescent="0.25">
      <c r="B202" s="120" t="s">
        <v>137</v>
      </c>
      <c r="C202" s="119"/>
      <c r="D202" s="119"/>
      <c r="E202" s="119"/>
      <c r="F202" s="118"/>
      <c r="G202" s="117"/>
      <c r="H202" s="116"/>
      <c r="I202" s="116"/>
    </row>
    <row r="203" spans="1:9" x14ac:dyDescent="0.25">
      <c r="B203" s="120" t="s">
        <v>136</v>
      </c>
      <c r="C203" s="119"/>
      <c r="D203" s="119"/>
      <c r="E203" s="119"/>
      <c r="F203" s="118"/>
      <c r="G203" s="117"/>
      <c r="H203" s="116"/>
      <c r="I203" s="116"/>
    </row>
    <row r="205" spans="1:9" x14ac:dyDescent="0.25">
      <c r="B205" s="115" t="s">
        <v>135</v>
      </c>
      <c r="C205" s="114"/>
      <c r="D205" s="114"/>
      <c r="E205" s="113"/>
      <c r="F205" s="112"/>
      <c r="G205" s="111"/>
    </row>
    <row r="206" spans="1:9" x14ac:dyDescent="0.25">
      <c r="B206" s="45" t="s">
        <v>134</v>
      </c>
      <c r="C206" s="15"/>
      <c r="D206" s="15"/>
      <c r="E206" s="15"/>
      <c r="F206" s="15"/>
      <c r="G206" s="110"/>
    </row>
    <row r="207" spans="1:9" x14ac:dyDescent="0.25">
      <c r="B207" s="45" t="s">
        <v>133</v>
      </c>
      <c r="C207" s="9"/>
      <c r="D207" s="9"/>
      <c r="E207" s="9"/>
      <c r="F207" s="9"/>
      <c r="G207" s="81"/>
    </row>
    <row r="208" spans="1:9" x14ac:dyDescent="0.25">
      <c r="B208" s="45"/>
      <c r="C208" s="9"/>
      <c r="D208" s="9"/>
      <c r="E208" s="61"/>
      <c r="F208" s="62"/>
      <c r="G208" s="81"/>
    </row>
    <row r="209" spans="2:8" x14ac:dyDescent="0.25">
      <c r="B209" s="44" t="s">
        <v>132</v>
      </c>
      <c r="C209" s="9"/>
      <c r="D209" s="9"/>
      <c r="E209" s="9"/>
      <c r="F209" s="9"/>
      <c r="G209" s="81"/>
    </row>
    <row r="210" spans="2:8" x14ac:dyDescent="0.25">
      <c r="B210" s="45" t="s">
        <v>131</v>
      </c>
      <c r="C210" s="9"/>
      <c r="D210" s="109"/>
      <c r="E210" s="109"/>
      <c r="F210" s="9"/>
      <c r="G210" s="81"/>
    </row>
    <row r="211" spans="2:8" ht="34.5" x14ac:dyDescent="0.25">
      <c r="B211" s="108" t="s">
        <v>130</v>
      </c>
      <c r="C211" s="108" t="s">
        <v>129</v>
      </c>
      <c r="D211" s="107" t="s">
        <v>128</v>
      </c>
      <c r="E211" s="107" t="s">
        <v>128</v>
      </c>
      <c r="F211" s="107" t="s">
        <v>127</v>
      </c>
      <c r="G211" s="81"/>
    </row>
    <row r="212" spans="2:8" x14ac:dyDescent="0.25">
      <c r="B212" s="108"/>
      <c r="C212" s="108"/>
      <c r="D212" s="107" t="s">
        <v>125</v>
      </c>
      <c r="E212" s="107" t="s">
        <v>126</v>
      </c>
      <c r="F212" s="107" t="s">
        <v>125</v>
      </c>
      <c r="G212" s="81"/>
    </row>
    <row r="213" spans="2:8" x14ac:dyDescent="0.25">
      <c r="B213" s="106" t="s">
        <v>124</v>
      </c>
      <c r="C213" s="106" t="s">
        <v>124</v>
      </c>
      <c r="D213" s="106" t="s">
        <v>124</v>
      </c>
      <c r="E213" s="106" t="s">
        <v>124</v>
      </c>
      <c r="F213" s="106" t="s">
        <v>124</v>
      </c>
      <c r="G213" s="81"/>
    </row>
    <row r="214" spans="2:8" x14ac:dyDescent="0.25">
      <c r="B214" s="105"/>
      <c r="C214" s="88"/>
      <c r="D214" s="88"/>
      <c r="E214" s="88"/>
      <c r="F214" s="88"/>
      <c r="G214" s="81"/>
    </row>
    <row r="215" spans="2:8" x14ac:dyDescent="0.25">
      <c r="B215" s="82" t="s">
        <v>123</v>
      </c>
      <c r="C215" s="9"/>
      <c r="D215" s="9"/>
      <c r="E215" s="9"/>
      <c r="F215" s="9"/>
      <c r="G215" s="81"/>
    </row>
    <row r="216" spans="2:8" x14ac:dyDescent="0.25">
      <c r="B216" s="45"/>
      <c r="C216" s="9"/>
      <c r="D216" s="9"/>
      <c r="E216" s="9"/>
      <c r="F216" s="9"/>
      <c r="G216" s="81"/>
    </row>
    <row r="217" spans="2:8" x14ac:dyDescent="0.25">
      <c r="B217" s="82" t="s">
        <v>122</v>
      </c>
      <c r="C217" s="9"/>
      <c r="D217" s="104"/>
      <c r="E217" s="9"/>
      <c r="F217" s="9"/>
      <c r="G217" s="81"/>
    </row>
    <row r="218" spans="2:8" x14ac:dyDescent="0.25">
      <c r="B218" s="103" t="s">
        <v>121</v>
      </c>
      <c r="C218" s="102">
        <v>46234</v>
      </c>
      <c r="D218" s="102">
        <v>46265</v>
      </c>
      <c r="E218" s="9"/>
      <c r="F218" s="98"/>
      <c r="G218" s="81"/>
    </row>
    <row r="219" spans="2:8" x14ac:dyDescent="0.25">
      <c r="B219" s="101" t="s">
        <v>120</v>
      </c>
      <c r="C219" s="100">
        <v>92.052700000000002</v>
      </c>
      <c r="D219" s="100">
        <v>90.782700000000006</v>
      </c>
      <c r="E219" s="9"/>
      <c r="G219" s="64"/>
    </row>
    <row r="220" spans="2:8" x14ac:dyDescent="0.25">
      <c r="B220" s="101" t="s">
        <v>119</v>
      </c>
      <c r="C220" s="100">
        <v>83.920699999999997</v>
      </c>
      <c r="D220" s="100">
        <v>82.720100000000002</v>
      </c>
      <c r="E220" s="9"/>
      <c r="G220" s="64"/>
    </row>
    <row r="221" spans="2:8" x14ac:dyDescent="0.25">
      <c r="B221" s="101" t="s">
        <v>118</v>
      </c>
      <c r="C221" s="100">
        <v>92.052700000000002</v>
      </c>
      <c r="D221" s="100">
        <v>90.782700000000006</v>
      </c>
      <c r="E221" s="9"/>
      <c r="G221" s="64"/>
    </row>
    <row r="222" spans="2:8" x14ac:dyDescent="0.25">
      <c r="B222" s="101" t="s">
        <v>117</v>
      </c>
      <c r="C222" s="100">
        <v>83.920500000000004</v>
      </c>
      <c r="D222" s="100">
        <v>82.719499999999996</v>
      </c>
      <c r="E222" s="9"/>
      <c r="G222" s="64"/>
    </row>
    <row r="223" spans="2:8" x14ac:dyDescent="0.25">
      <c r="B223" s="45"/>
      <c r="C223" s="9"/>
      <c r="D223" s="9"/>
      <c r="E223" s="9"/>
      <c r="F223" s="98"/>
      <c r="G223" s="81"/>
      <c r="H223" s="99"/>
    </row>
    <row r="224" spans="2:8" x14ac:dyDescent="0.25">
      <c r="B224" s="82" t="s">
        <v>116</v>
      </c>
      <c r="C224" s="83"/>
      <c r="D224" s="83"/>
      <c r="E224" s="83"/>
      <c r="F224" s="98"/>
      <c r="G224" s="81"/>
    </row>
    <row r="225" spans="2:7" x14ac:dyDescent="0.25">
      <c r="B225" s="82"/>
      <c r="C225" s="83"/>
      <c r="D225" s="83"/>
      <c r="E225" s="83"/>
      <c r="F225" s="9"/>
      <c r="G225" s="81"/>
    </row>
    <row r="226" spans="2:7" x14ac:dyDescent="0.25">
      <c r="B226" s="82" t="s">
        <v>115</v>
      </c>
      <c r="C226" s="83"/>
      <c r="D226" s="83"/>
      <c r="E226" s="83"/>
      <c r="F226" s="9"/>
      <c r="G226" s="81"/>
    </row>
    <row r="227" spans="2:7" x14ac:dyDescent="0.25">
      <c r="B227" s="82"/>
      <c r="C227" s="83"/>
      <c r="D227" s="83"/>
      <c r="E227" s="83"/>
      <c r="F227" s="9"/>
      <c r="G227" s="97"/>
    </row>
    <row r="228" spans="2:7" x14ac:dyDescent="0.25">
      <c r="B228" s="82" t="s">
        <v>114</v>
      </c>
      <c r="C228" s="83"/>
      <c r="D228" s="96"/>
      <c r="E228" s="95"/>
      <c r="F228" s="94"/>
      <c r="G228" s="81"/>
    </row>
    <row r="229" spans="2:7" x14ac:dyDescent="0.25">
      <c r="B229" s="80" t="s">
        <v>113</v>
      </c>
      <c r="C229" s="83"/>
      <c r="D229" s="83"/>
      <c r="E229" s="87"/>
      <c r="F229" s="9"/>
      <c r="G229" s="81"/>
    </row>
    <row r="230" spans="2:7" x14ac:dyDescent="0.25">
      <c r="B230" s="90"/>
      <c r="C230" s="83"/>
      <c r="D230" s="83"/>
      <c r="E230" s="83"/>
      <c r="F230" s="9"/>
      <c r="G230" s="81"/>
    </row>
    <row r="231" spans="2:7" x14ac:dyDescent="0.25">
      <c r="B231" s="92" t="s">
        <v>112</v>
      </c>
      <c r="C231" s="83"/>
      <c r="D231" s="87"/>
      <c r="E231" s="87"/>
      <c r="F231" s="93"/>
      <c r="G231" s="81"/>
    </row>
    <row r="232" spans="2:7" x14ac:dyDescent="0.25">
      <c r="B232" s="92"/>
      <c r="C232" s="89"/>
      <c r="D232" s="89"/>
      <c r="E232" s="83"/>
      <c r="F232" s="88"/>
      <c r="G232" s="81"/>
    </row>
    <row r="233" spans="2:7" x14ac:dyDescent="0.25">
      <c r="B233" s="92" t="s">
        <v>111</v>
      </c>
      <c r="C233" s="89"/>
      <c r="D233" s="91"/>
      <c r="E233" s="56"/>
      <c r="F233" s="56"/>
      <c r="G233" s="81"/>
    </row>
    <row r="234" spans="2:7" x14ac:dyDescent="0.25">
      <c r="B234" s="90"/>
      <c r="C234" s="89"/>
      <c r="D234" s="89"/>
      <c r="E234" s="83"/>
      <c r="F234" s="88"/>
      <c r="G234" s="81"/>
    </row>
    <row r="235" spans="2:7" x14ac:dyDescent="0.25">
      <c r="B235" s="82" t="s">
        <v>110</v>
      </c>
      <c r="C235" s="83"/>
      <c r="D235" s="87"/>
      <c r="E235" s="62"/>
      <c r="F235" s="9"/>
      <c r="G235" s="81"/>
    </row>
    <row r="236" spans="2:7" x14ac:dyDescent="0.25">
      <c r="B236" s="82"/>
      <c r="C236" s="87"/>
      <c r="D236" s="83"/>
      <c r="E236" s="86"/>
      <c r="F236" s="62"/>
      <c r="G236" s="81"/>
    </row>
    <row r="237" spans="2:7" x14ac:dyDescent="0.25">
      <c r="B237" s="85" t="s">
        <v>109</v>
      </c>
      <c r="C237" s="83"/>
      <c r="D237" s="83"/>
      <c r="E237" s="83"/>
      <c r="F237" s="9"/>
      <c r="G237" s="81"/>
    </row>
    <row r="238" spans="2:7" x14ac:dyDescent="0.25">
      <c r="B238" s="84"/>
      <c r="C238" s="83"/>
      <c r="D238" s="83"/>
      <c r="E238" s="62"/>
      <c r="F238" s="62"/>
      <c r="G238" s="81"/>
    </row>
    <row r="239" spans="2:7" x14ac:dyDescent="0.25">
      <c r="B239" s="84" t="s">
        <v>108</v>
      </c>
      <c r="C239" s="83"/>
      <c r="D239" s="83"/>
      <c r="E239" s="62"/>
      <c r="F239" s="62"/>
      <c r="G239" s="81"/>
    </row>
    <row r="240" spans="2:7" x14ac:dyDescent="0.25">
      <c r="B240" s="82"/>
      <c r="C240" s="83"/>
      <c r="D240" s="83"/>
      <c r="E240" s="83"/>
      <c r="F240" s="62"/>
      <c r="G240" s="81"/>
    </row>
    <row r="241" spans="2:7" x14ac:dyDescent="0.25">
      <c r="B241" s="82" t="s">
        <v>107</v>
      </c>
      <c r="C241" s="83"/>
      <c r="D241" s="83"/>
      <c r="E241" s="83"/>
      <c r="F241" s="9"/>
      <c r="G241" s="81"/>
    </row>
    <row r="242" spans="2:7" x14ac:dyDescent="0.25">
      <c r="B242" s="80"/>
      <c r="C242" s="79"/>
      <c r="D242" s="79"/>
      <c r="E242" s="79"/>
      <c r="F242" s="78"/>
      <c r="G242" s="81"/>
    </row>
    <row r="243" spans="2:7" x14ac:dyDescent="0.25">
      <c r="B243" s="80" t="s">
        <v>106</v>
      </c>
      <c r="C243" s="79"/>
      <c r="D243" s="79"/>
      <c r="E243" s="79"/>
      <c r="F243" s="78"/>
      <c r="G243" s="81"/>
    </row>
    <row r="244" spans="2:7" x14ac:dyDescent="0.25">
      <c r="B244" s="80"/>
      <c r="C244" s="79"/>
      <c r="D244" s="79"/>
      <c r="E244" s="79"/>
      <c r="F244" s="78"/>
      <c r="G244" s="81"/>
    </row>
    <row r="245" spans="2:7" x14ac:dyDescent="0.25">
      <c r="B245" s="82" t="s">
        <v>105</v>
      </c>
      <c r="C245" s="79"/>
      <c r="D245" s="79"/>
      <c r="E245" s="79"/>
      <c r="F245" s="9"/>
      <c r="G245" s="81"/>
    </row>
    <row r="246" spans="2:7" x14ac:dyDescent="0.25">
      <c r="B246" s="80"/>
      <c r="C246" s="79"/>
      <c r="D246" s="79"/>
      <c r="E246" s="79"/>
      <c r="F246" s="78"/>
      <c r="G246" s="77"/>
    </row>
    <row r="247" spans="2:7" ht="34.5" x14ac:dyDescent="0.25">
      <c r="B247" s="52" t="s">
        <v>55</v>
      </c>
      <c r="C247" s="52" t="s">
        <v>104</v>
      </c>
      <c r="D247" s="52" t="s">
        <v>103</v>
      </c>
      <c r="E247" s="52" t="s">
        <v>102</v>
      </c>
      <c r="F247" s="52" t="s">
        <v>101</v>
      </c>
      <c r="G247" s="52" t="s">
        <v>100</v>
      </c>
    </row>
    <row r="248" spans="2:7" x14ac:dyDescent="0.25">
      <c r="B248" s="12" t="s">
        <v>99</v>
      </c>
      <c r="C248" s="74" t="s">
        <v>73</v>
      </c>
      <c r="D248" s="73" t="s">
        <v>72</v>
      </c>
      <c r="E248" s="67">
        <v>174.95971078066916</v>
      </c>
      <c r="F248" s="67">
        <v>177.08</v>
      </c>
      <c r="G248" s="76">
        <v>60048.4401143</v>
      </c>
    </row>
    <row r="249" spans="2:7" x14ac:dyDescent="0.25">
      <c r="B249" s="12" t="s">
        <v>98</v>
      </c>
      <c r="C249" s="74" t="s">
        <v>73</v>
      </c>
      <c r="D249" s="73" t="s">
        <v>72</v>
      </c>
      <c r="E249" s="67">
        <v>1100.4954877958801</v>
      </c>
      <c r="F249" s="67">
        <v>1070.7</v>
      </c>
      <c r="G249" s="75"/>
    </row>
    <row r="250" spans="2:7" x14ac:dyDescent="0.25">
      <c r="B250" s="12" t="s">
        <v>97</v>
      </c>
      <c r="C250" s="74" t="s">
        <v>73</v>
      </c>
      <c r="D250" s="73" t="s">
        <v>72</v>
      </c>
      <c r="E250" s="67">
        <v>2028.4677260504202</v>
      </c>
      <c r="F250" s="67">
        <v>2004.3</v>
      </c>
      <c r="G250" s="75"/>
    </row>
    <row r="251" spans="2:7" x14ac:dyDescent="0.25">
      <c r="B251" s="12" t="s">
        <v>96</v>
      </c>
      <c r="C251" s="74" t="s">
        <v>73</v>
      </c>
      <c r="D251" s="73" t="s">
        <v>72</v>
      </c>
      <c r="E251" s="67">
        <v>413.11785105566219</v>
      </c>
      <c r="F251" s="67">
        <v>415</v>
      </c>
      <c r="G251" s="75"/>
    </row>
    <row r="252" spans="2:7" x14ac:dyDescent="0.25">
      <c r="B252" s="12" t="s">
        <v>95</v>
      </c>
      <c r="C252" s="74" t="s">
        <v>73</v>
      </c>
      <c r="D252" s="73" t="s">
        <v>72</v>
      </c>
      <c r="E252" s="67">
        <v>130.06186149181323</v>
      </c>
      <c r="F252" s="67">
        <v>126.85</v>
      </c>
      <c r="G252" s="75"/>
    </row>
    <row r="253" spans="2:7" x14ac:dyDescent="0.25">
      <c r="B253" s="12" t="s">
        <v>94</v>
      </c>
      <c r="C253" s="74" t="s">
        <v>73</v>
      </c>
      <c r="D253" s="73" t="s">
        <v>72</v>
      </c>
      <c r="E253" s="67">
        <v>8591.8947637969086</v>
      </c>
      <c r="F253" s="67">
        <v>9252</v>
      </c>
      <c r="G253" s="75"/>
    </row>
    <row r="254" spans="2:7" x14ac:dyDescent="0.25">
      <c r="B254" s="12" t="s">
        <v>93</v>
      </c>
      <c r="C254" s="74" t="s">
        <v>73</v>
      </c>
      <c r="D254" s="73" t="s">
        <v>72</v>
      </c>
      <c r="E254" s="67">
        <v>8077.6648065934069</v>
      </c>
      <c r="F254" s="67">
        <v>8033</v>
      </c>
      <c r="G254" s="75"/>
    </row>
    <row r="255" spans="2:7" x14ac:dyDescent="0.25">
      <c r="B255" s="12" t="s">
        <v>92</v>
      </c>
      <c r="C255" s="74" t="s">
        <v>73</v>
      </c>
      <c r="D255" s="73" t="s">
        <v>72</v>
      </c>
      <c r="E255" s="67">
        <v>3291.3268294478526</v>
      </c>
      <c r="F255" s="67">
        <v>3335.9</v>
      </c>
      <c r="G255" s="75"/>
    </row>
    <row r="256" spans="2:7" x14ac:dyDescent="0.25">
      <c r="B256" s="12" t="s">
        <v>91</v>
      </c>
      <c r="C256" s="74" t="s">
        <v>73</v>
      </c>
      <c r="D256" s="73" t="s">
        <v>72</v>
      </c>
      <c r="E256" s="67">
        <v>5041.4904631218906</v>
      </c>
      <c r="F256" s="67">
        <v>4842</v>
      </c>
      <c r="G256" s="75"/>
    </row>
    <row r="257" spans="2:7" x14ac:dyDescent="0.25">
      <c r="B257" s="12" t="s">
        <v>90</v>
      </c>
      <c r="C257" s="74" t="s">
        <v>73</v>
      </c>
      <c r="D257" s="73" t="s">
        <v>72</v>
      </c>
      <c r="E257" s="67">
        <v>1041.8760717121588</v>
      </c>
      <c r="F257" s="67">
        <v>1026.1500000000001</v>
      </c>
      <c r="G257" s="75"/>
    </row>
    <row r="258" spans="2:7" x14ac:dyDescent="0.25">
      <c r="B258" s="12" t="s">
        <v>89</v>
      </c>
      <c r="C258" s="74" t="s">
        <v>73</v>
      </c>
      <c r="D258" s="73" t="s">
        <v>72</v>
      </c>
      <c r="E258" s="67">
        <v>2038.505674407583</v>
      </c>
      <c r="F258" s="67">
        <v>2010.8</v>
      </c>
      <c r="G258" s="75"/>
    </row>
    <row r="259" spans="2:7" x14ac:dyDescent="0.25">
      <c r="B259" s="12" t="s">
        <v>88</v>
      </c>
      <c r="C259" s="74" t="s">
        <v>73</v>
      </c>
      <c r="D259" s="73" t="s">
        <v>72</v>
      </c>
      <c r="E259" s="67">
        <v>86.680653312150795</v>
      </c>
      <c r="F259" s="67">
        <v>84.75</v>
      </c>
      <c r="G259" s="75"/>
    </row>
    <row r="260" spans="2:7" x14ac:dyDescent="0.25">
      <c r="B260" s="12" t="s">
        <v>87</v>
      </c>
      <c r="C260" s="74" t="s">
        <v>73</v>
      </c>
      <c r="D260" s="73" t="s">
        <v>72</v>
      </c>
      <c r="E260" s="67">
        <v>1044.0999999999999</v>
      </c>
      <c r="F260" s="67">
        <v>1002.8</v>
      </c>
      <c r="G260" s="75"/>
    </row>
    <row r="261" spans="2:7" x14ac:dyDescent="0.25">
      <c r="B261" s="12" t="s">
        <v>86</v>
      </c>
      <c r="C261" s="74" t="s">
        <v>73</v>
      </c>
      <c r="D261" s="73" t="s">
        <v>72</v>
      </c>
      <c r="E261" s="67">
        <v>550.16</v>
      </c>
      <c r="F261" s="67">
        <v>530</v>
      </c>
      <c r="G261" s="75"/>
    </row>
    <row r="262" spans="2:7" x14ac:dyDescent="0.25">
      <c r="B262" s="12" t="s">
        <v>85</v>
      </c>
      <c r="C262" s="74" t="s">
        <v>73</v>
      </c>
      <c r="D262" s="73" t="s">
        <v>72</v>
      </c>
      <c r="E262" s="67">
        <v>1299.7286455264252</v>
      </c>
      <c r="F262" s="67">
        <v>1326</v>
      </c>
      <c r="G262" s="75"/>
    </row>
    <row r="263" spans="2:7" x14ac:dyDescent="0.25">
      <c r="B263" s="12" t="s">
        <v>84</v>
      </c>
      <c r="C263" s="74" t="s">
        <v>73</v>
      </c>
      <c r="D263" s="73" t="s">
        <v>72</v>
      </c>
      <c r="E263" s="67">
        <v>2220.0500000000002</v>
      </c>
      <c r="F263" s="67">
        <v>2170.3000000000002</v>
      </c>
      <c r="G263" s="75"/>
    </row>
    <row r="264" spans="2:7" x14ac:dyDescent="0.25">
      <c r="B264" s="12" t="s">
        <v>83</v>
      </c>
      <c r="C264" s="74" t="s">
        <v>73</v>
      </c>
      <c r="D264" s="73" t="s">
        <v>72</v>
      </c>
      <c r="E264" s="67">
        <v>241.49951174089068</v>
      </c>
      <c r="F264" s="67">
        <v>233.16</v>
      </c>
      <c r="G264" s="75"/>
    </row>
    <row r="265" spans="2:7" x14ac:dyDescent="0.25">
      <c r="B265" s="12" t="s">
        <v>82</v>
      </c>
      <c r="C265" s="74" t="s">
        <v>73</v>
      </c>
      <c r="D265" s="73" t="s">
        <v>72</v>
      </c>
      <c r="E265" s="67">
        <v>1319.4885652548633</v>
      </c>
      <c r="F265" s="67">
        <v>1301.0999999999999</v>
      </c>
      <c r="G265" s="75"/>
    </row>
    <row r="266" spans="2:7" x14ac:dyDescent="0.25">
      <c r="B266" s="12" t="s">
        <v>81</v>
      </c>
      <c r="C266" s="74" t="s">
        <v>73</v>
      </c>
      <c r="D266" s="73" t="s">
        <v>72</v>
      </c>
      <c r="E266" s="67">
        <v>4395.2073923671996</v>
      </c>
      <c r="F266" s="67">
        <v>4343.8</v>
      </c>
      <c r="G266" s="75"/>
    </row>
    <row r="267" spans="2:7" x14ac:dyDescent="0.25">
      <c r="B267" s="12" t="s">
        <v>80</v>
      </c>
      <c r="C267" s="74" t="s">
        <v>73</v>
      </c>
      <c r="D267" s="73" t="s">
        <v>72</v>
      </c>
      <c r="E267" s="67">
        <v>1054.3673730575831</v>
      </c>
      <c r="F267" s="67">
        <v>1053.3</v>
      </c>
      <c r="G267" s="75"/>
    </row>
    <row r="268" spans="2:7" x14ac:dyDescent="0.25">
      <c r="B268" s="12" t="s">
        <v>79</v>
      </c>
      <c r="C268" s="74" t="s">
        <v>73</v>
      </c>
      <c r="D268" s="73" t="s">
        <v>72</v>
      </c>
      <c r="E268" s="67">
        <v>1967.3066422304355</v>
      </c>
      <c r="F268" s="67">
        <v>1937.8</v>
      </c>
      <c r="G268" s="75"/>
    </row>
    <row r="269" spans="2:7" x14ac:dyDescent="0.25">
      <c r="B269" s="12" t="s">
        <v>78</v>
      </c>
      <c r="C269" s="74" t="s">
        <v>73</v>
      </c>
      <c r="D269" s="73" t="s">
        <v>72</v>
      </c>
      <c r="E269" s="67">
        <v>186.07946859640734</v>
      </c>
      <c r="F269" s="67">
        <v>183.24</v>
      </c>
      <c r="G269" s="75"/>
    </row>
    <row r="270" spans="2:7" x14ac:dyDescent="0.25">
      <c r="B270" s="12" t="s">
        <v>77</v>
      </c>
      <c r="C270" s="74" t="s">
        <v>73</v>
      </c>
      <c r="D270" s="73" t="s">
        <v>72</v>
      </c>
      <c r="E270" s="67">
        <v>1066.2232727272726</v>
      </c>
      <c r="F270" s="67">
        <v>1046.7</v>
      </c>
      <c r="G270" s="75"/>
    </row>
    <row r="271" spans="2:7" x14ac:dyDescent="0.25">
      <c r="B271" s="12" t="s">
        <v>76</v>
      </c>
      <c r="C271" s="74" t="s">
        <v>75</v>
      </c>
      <c r="D271" s="73" t="s">
        <v>72</v>
      </c>
      <c r="E271" s="67">
        <v>5113.8999999999996</v>
      </c>
      <c r="F271" s="67">
        <v>5187.3</v>
      </c>
      <c r="G271" s="75"/>
    </row>
    <row r="272" spans="2:7" x14ac:dyDescent="0.25">
      <c r="B272" s="12" t="s">
        <v>76</v>
      </c>
      <c r="C272" s="74" t="s">
        <v>73</v>
      </c>
      <c r="D272" s="73" t="s">
        <v>72</v>
      </c>
      <c r="E272" s="67">
        <v>4769.8435554896141</v>
      </c>
      <c r="F272" s="67">
        <v>5159.8</v>
      </c>
      <c r="G272" s="75"/>
    </row>
    <row r="273" spans="2:7" x14ac:dyDescent="0.25">
      <c r="B273" s="12" t="s">
        <v>74</v>
      </c>
      <c r="C273" s="74" t="s">
        <v>75</v>
      </c>
      <c r="D273" s="73" t="s">
        <v>72</v>
      </c>
      <c r="E273" s="67">
        <v>11573.338400000001</v>
      </c>
      <c r="F273" s="67">
        <v>11635</v>
      </c>
      <c r="G273" s="75"/>
    </row>
    <row r="274" spans="2:7" x14ac:dyDescent="0.25">
      <c r="B274" s="12" t="s">
        <v>74</v>
      </c>
      <c r="C274" s="74" t="s">
        <v>73</v>
      </c>
      <c r="D274" s="73" t="s">
        <v>72</v>
      </c>
      <c r="E274" s="67">
        <v>11601.076197275479</v>
      </c>
      <c r="F274" s="67">
        <v>11588</v>
      </c>
      <c r="G274" s="72"/>
    </row>
    <row r="275" spans="2:7" x14ac:dyDescent="0.25">
      <c r="B275" s="71" t="s">
        <v>71</v>
      </c>
      <c r="C275" s="70"/>
      <c r="D275" s="70"/>
      <c r="E275" s="70"/>
      <c r="F275" s="70"/>
      <c r="G275" s="69"/>
    </row>
    <row r="276" spans="2:7" x14ac:dyDescent="0.25">
      <c r="B276" s="44"/>
      <c r="C276" s="46"/>
      <c r="D276" s="46"/>
      <c r="E276" s="9"/>
      <c r="F276" s="9"/>
      <c r="G276" s="43"/>
    </row>
    <row r="277" spans="2:7" x14ac:dyDescent="0.25">
      <c r="B277" s="44" t="s">
        <v>70</v>
      </c>
      <c r="C277" s="46"/>
      <c r="D277" s="46"/>
      <c r="E277" s="9"/>
      <c r="F277" s="9"/>
      <c r="G277" s="43"/>
    </row>
    <row r="278" spans="2:7" x14ac:dyDescent="0.25">
      <c r="B278" s="12" t="s">
        <v>67</v>
      </c>
      <c r="C278" s="12"/>
      <c r="D278" s="9"/>
      <c r="E278" s="9"/>
      <c r="G278" s="64"/>
    </row>
    <row r="279" spans="2:7" x14ac:dyDescent="0.25">
      <c r="B279" s="12" t="s">
        <v>66</v>
      </c>
      <c r="C279" s="66">
        <v>37066</v>
      </c>
      <c r="D279" s="58"/>
      <c r="E279" s="58"/>
      <c r="G279" s="64"/>
    </row>
    <row r="280" spans="2:7" x14ac:dyDescent="0.25">
      <c r="B280" s="12" t="s">
        <v>65</v>
      </c>
      <c r="C280" s="66">
        <v>37066</v>
      </c>
      <c r="D280" s="58"/>
      <c r="E280" s="58"/>
      <c r="G280" s="64"/>
    </row>
    <row r="281" spans="2:7" x14ac:dyDescent="0.25">
      <c r="B281" s="12" t="s">
        <v>64</v>
      </c>
      <c r="C281" s="66">
        <v>0</v>
      </c>
      <c r="D281" s="58"/>
      <c r="E281" s="58"/>
      <c r="G281" s="64"/>
    </row>
    <row r="282" spans="2:7" x14ac:dyDescent="0.25">
      <c r="B282" s="12" t="s">
        <v>63</v>
      </c>
      <c r="C282" s="66">
        <v>0</v>
      </c>
      <c r="D282" s="58"/>
      <c r="E282" s="58"/>
      <c r="G282" s="64"/>
    </row>
    <row r="283" spans="2:7" x14ac:dyDescent="0.25">
      <c r="B283" s="12" t="s">
        <v>62</v>
      </c>
      <c r="C283" s="66">
        <v>27140356436.960609</v>
      </c>
      <c r="D283" s="58"/>
      <c r="E283" s="58"/>
      <c r="G283" s="64"/>
    </row>
    <row r="284" spans="2:7" x14ac:dyDescent="0.25">
      <c r="B284" s="12" t="s">
        <v>61</v>
      </c>
      <c r="C284" s="66">
        <v>26012933203.850002</v>
      </c>
      <c r="D284" s="58"/>
      <c r="E284" s="58"/>
      <c r="G284" s="64"/>
    </row>
    <row r="285" spans="2:7" x14ac:dyDescent="0.25">
      <c r="B285" s="12" t="s">
        <v>60</v>
      </c>
      <c r="C285" s="66">
        <v>0</v>
      </c>
      <c r="D285" s="58"/>
      <c r="E285" s="68"/>
      <c r="G285" s="64"/>
    </row>
    <row r="286" spans="2:7" x14ac:dyDescent="0.25">
      <c r="B286" s="12" t="s">
        <v>59</v>
      </c>
      <c r="C286" s="66">
        <f>C284-C283</f>
        <v>-1127423233.1106071</v>
      </c>
      <c r="D286" s="58"/>
      <c r="E286" s="65"/>
      <c r="G286" s="64"/>
    </row>
    <row r="287" spans="2:7" x14ac:dyDescent="0.25">
      <c r="B287" s="54" t="s">
        <v>58</v>
      </c>
      <c r="C287" s="53"/>
      <c r="D287" s="53"/>
      <c r="E287" s="59"/>
      <c r="F287" s="58"/>
      <c r="G287" s="57"/>
    </row>
    <row r="288" spans="2:7" x14ac:dyDescent="0.25">
      <c r="B288" s="45"/>
      <c r="C288" s="9"/>
      <c r="D288" s="9"/>
      <c r="E288" s="59"/>
      <c r="F288" s="59"/>
      <c r="G288" s="57"/>
    </row>
    <row r="289" spans="2:7" x14ac:dyDescent="0.25">
      <c r="B289" s="44" t="s">
        <v>69</v>
      </c>
      <c r="C289" s="46"/>
      <c r="D289" s="46"/>
      <c r="E289" s="9"/>
      <c r="F289" s="9"/>
      <c r="G289" s="43"/>
    </row>
    <row r="290" spans="2:7" x14ac:dyDescent="0.25">
      <c r="B290" s="44"/>
      <c r="C290" s="46"/>
      <c r="D290" s="46"/>
      <c r="E290" s="9"/>
      <c r="F290" s="9"/>
      <c r="G290" s="43"/>
    </row>
    <row r="291" spans="2:7" x14ac:dyDescent="0.25">
      <c r="B291" s="44" t="s">
        <v>68</v>
      </c>
      <c r="C291" s="46"/>
      <c r="D291" s="46"/>
      <c r="E291" s="9"/>
      <c r="F291" s="9"/>
      <c r="G291" s="43"/>
    </row>
    <row r="292" spans="2:7" x14ac:dyDescent="0.25">
      <c r="B292" s="67" t="s">
        <v>67</v>
      </c>
      <c r="C292" s="67"/>
      <c r="D292" s="9"/>
      <c r="E292" s="9"/>
      <c r="G292" s="64"/>
    </row>
    <row r="293" spans="2:7" x14ac:dyDescent="0.25">
      <c r="B293" s="67" t="s">
        <v>66</v>
      </c>
      <c r="C293" s="66">
        <v>6450</v>
      </c>
      <c r="D293" s="58"/>
      <c r="E293" s="58"/>
      <c r="G293" s="64"/>
    </row>
    <row r="294" spans="2:7" x14ac:dyDescent="0.25">
      <c r="B294" s="67" t="s">
        <v>65</v>
      </c>
      <c r="C294" s="66">
        <v>0</v>
      </c>
      <c r="D294" s="58"/>
      <c r="E294" s="58"/>
      <c r="G294" s="64"/>
    </row>
    <row r="295" spans="2:7" x14ac:dyDescent="0.25">
      <c r="B295" s="67" t="s">
        <v>64</v>
      </c>
      <c r="C295" s="66">
        <v>6450</v>
      </c>
      <c r="D295" s="58"/>
      <c r="E295" s="58"/>
      <c r="G295" s="64"/>
    </row>
    <row r="296" spans="2:7" x14ac:dyDescent="0.25">
      <c r="B296" s="67" t="s">
        <v>63</v>
      </c>
      <c r="C296" s="66">
        <v>0</v>
      </c>
      <c r="D296" s="58"/>
      <c r="E296" s="58"/>
      <c r="G296" s="64"/>
    </row>
    <row r="297" spans="2:7" x14ac:dyDescent="0.25">
      <c r="B297" s="67" t="s">
        <v>62</v>
      </c>
      <c r="C297" s="66">
        <v>4138113809.9000001</v>
      </c>
      <c r="D297" s="58"/>
      <c r="E297" s="58"/>
      <c r="G297" s="64"/>
    </row>
    <row r="298" spans="2:7" x14ac:dyDescent="0.25">
      <c r="B298" s="67" t="s">
        <v>61</v>
      </c>
      <c r="C298" s="66">
        <v>0</v>
      </c>
      <c r="D298" s="58"/>
      <c r="E298" s="58"/>
      <c r="G298" s="64"/>
    </row>
    <row r="299" spans="2:7" x14ac:dyDescent="0.25">
      <c r="B299" s="67" t="s">
        <v>60</v>
      </c>
      <c r="C299" s="66">
        <v>4197995625</v>
      </c>
      <c r="D299" s="58"/>
      <c r="E299" s="68"/>
      <c r="G299" s="64"/>
    </row>
    <row r="300" spans="2:7" x14ac:dyDescent="0.25">
      <c r="B300" s="67" t="s">
        <v>59</v>
      </c>
      <c r="C300" s="66">
        <f>C299-C297</f>
        <v>59881815.099999905</v>
      </c>
      <c r="D300" s="58"/>
      <c r="E300" s="65"/>
      <c r="G300" s="64"/>
    </row>
    <row r="301" spans="2:7" x14ac:dyDescent="0.25">
      <c r="B301" s="63"/>
      <c r="C301" s="62"/>
      <c r="D301" s="62"/>
      <c r="E301" s="61"/>
      <c r="F301" s="58"/>
      <c r="G301" s="60"/>
    </row>
    <row r="302" spans="2:7" x14ac:dyDescent="0.25">
      <c r="B302" s="54" t="s">
        <v>58</v>
      </c>
      <c r="C302" s="53"/>
      <c r="D302" s="53"/>
      <c r="E302" s="59"/>
      <c r="F302" s="58"/>
      <c r="G302" s="57"/>
    </row>
    <row r="303" spans="2:7" x14ac:dyDescent="0.25">
      <c r="B303" s="45"/>
      <c r="C303" s="9"/>
      <c r="D303" s="9"/>
      <c r="E303" s="9"/>
      <c r="F303" s="56"/>
      <c r="G303" s="55"/>
    </row>
    <row r="304" spans="2:7" x14ac:dyDescent="0.25">
      <c r="B304" s="44" t="s">
        <v>57</v>
      </c>
      <c r="C304" s="46"/>
      <c r="D304" s="46"/>
      <c r="E304" s="9"/>
      <c r="F304" s="47"/>
      <c r="G304" s="43"/>
    </row>
    <row r="305" spans="2:7" x14ac:dyDescent="0.25">
      <c r="B305" s="54"/>
      <c r="C305" s="53"/>
      <c r="D305" s="53"/>
      <c r="E305" s="9"/>
      <c r="F305" s="9"/>
      <c r="G305" s="43"/>
    </row>
    <row r="306" spans="2:7" x14ac:dyDescent="0.25">
      <c r="B306" s="44" t="s">
        <v>56</v>
      </c>
      <c r="C306" s="46"/>
      <c r="D306" s="46"/>
      <c r="E306" s="9"/>
      <c r="F306" s="47"/>
      <c r="G306" s="43"/>
    </row>
    <row r="307" spans="2:7" ht="34.5" x14ac:dyDescent="0.25">
      <c r="B307" s="52" t="s">
        <v>55</v>
      </c>
      <c r="C307" s="52" t="s">
        <v>54</v>
      </c>
      <c r="D307" s="52" t="s">
        <v>53</v>
      </c>
      <c r="E307" s="52" t="s">
        <v>52</v>
      </c>
      <c r="F307" s="52" t="s">
        <v>51</v>
      </c>
      <c r="G307" s="43"/>
    </row>
    <row r="308" spans="2:7" x14ac:dyDescent="0.25">
      <c r="B308" s="51" t="s">
        <v>50</v>
      </c>
      <c r="C308" s="51" t="s">
        <v>44</v>
      </c>
      <c r="D308" s="51">
        <v>300</v>
      </c>
      <c r="E308" s="50">
        <v>7.0983000000000001</v>
      </c>
      <c r="F308" s="50">
        <v>7.5</v>
      </c>
      <c r="G308" s="43"/>
    </row>
    <row r="309" spans="2:7" x14ac:dyDescent="0.25">
      <c r="B309" s="51" t="s">
        <v>50</v>
      </c>
      <c r="C309" s="51" t="s">
        <v>44</v>
      </c>
      <c r="D309" s="51">
        <v>606</v>
      </c>
      <c r="E309" s="50">
        <v>4.4174524558338186</v>
      </c>
      <c r="F309" s="50">
        <v>4.2</v>
      </c>
      <c r="G309" s="43"/>
    </row>
    <row r="310" spans="2:7" x14ac:dyDescent="0.25">
      <c r="B310" s="51" t="s">
        <v>50</v>
      </c>
      <c r="C310" s="51" t="s">
        <v>44</v>
      </c>
      <c r="D310" s="51">
        <v>800</v>
      </c>
      <c r="E310" s="50">
        <v>6.6663125000000001</v>
      </c>
      <c r="F310" s="50">
        <v>2.25</v>
      </c>
      <c r="G310" s="43"/>
    </row>
    <row r="311" spans="2:7" x14ac:dyDescent="0.25">
      <c r="B311" s="51" t="s">
        <v>49</v>
      </c>
      <c r="C311" s="51" t="s">
        <v>44</v>
      </c>
      <c r="D311" s="51">
        <v>805</v>
      </c>
      <c r="E311" s="50">
        <v>1.3003416149068323</v>
      </c>
      <c r="F311" s="50">
        <v>1.2</v>
      </c>
      <c r="G311" s="43"/>
    </row>
    <row r="312" spans="2:7" x14ac:dyDescent="0.25">
      <c r="B312" s="51" t="s">
        <v>49</v>
      </c>
      <c r="C312" s="51" t="s">
        <v>44</v>
      </c>
      <c r="D312" s="51">
        <v>146</v>
      </c>
      <c r="E312" s="50">
        <v>1.9040999999999999</v>
      </c>
      <c r="F312" s="50">
        <v>0.8</v>
      </c>
      <c r="G312" s="43"/>
    </row>
    <row r="313" spans="2:7" x14ac:dyDescent="0.25">
      <c r="B313" s="51" t="s">
        <v>48</v>
      </c>
      <c r="C313" s="51" t="s">
        <v>44</v>
      </c>
      <c r="D313" s="51">
        <v>300</v>
      </c>
      <c r="E313" s="50">
        <v>4.7683</v>
      </c>
      <c r="F313" s="50">
        <v>4.2</v>
      </c>
      <c r="G313" s="43"/>
    </row>
    <row r="314" spans="2:7" x14ac:dyDescent="0.25">
      <c r="B314" s="51" t="s">
        <v>48</v>
      </c>
      <c r="C314" s="51" t="s">
        <v>44</v>
      </c>
      <c r="D314" s="51">
        <v>587</v>
      </c>
      <c r="E314" s="50">
        <v>5.6155463304940376</v>
      </c>
      <c r="F314" s="50">
        <v>2.7</v>
      </c>
      <c r="G314" s="43"/>
    </row>
    <row r="315" spans="2:7" x14ac:dyDescent="0.25">
      <c r="B315" s="51" t="s">
        <v>47</v>
      </c>
      <c r="C315" s="51" t="s">
        <v>44</v>
      </c>
      <c r="D315" s="51">
        <v>2083</v>
      </c>
      <c r="E315" s="50">
        <v>19.777474507921266</v>
      </c>
      <c r="F315" s="50">
        <v>13.2</v>
      </c>
      <c r="G315" s="43"/>
    </row>
    <row r="316" spans="2:7" x14ac:dyDescent="0.25">
      <c r="B316" s="51" t="s">
        <v>46</v>
      </c>
      <c r="C316" s="51" t="s">
        <v>44</v>
      </c>
      <c r="D316" s="51">
        <v>500</v>
      </c>
      <c r="E316" s="50">
        <v>64.900099999999995</v>
      </c>
      <c r="F316" s="50">
        <v>74.650000000000006</v>
      </c>
      <c r="G316" s="43"/>
    </row>
    <row r="317" spans="2:7" x14ac:dyDescent="0.25">
      <c r="B317" s="51" t="s">
        <v>46</v>
      </c>
      <c r="C317" s="51" t="s">
        <v>44</v>
      </c>
      <c r="D317" s="51">
        <v>701</v>
      </c>
      <c r="E317" s="50">
        <v>64.808177175463626</v>
      </c>
      <c r="F317" s="50">
        <v>39.049999999999997</v>
      </c>
      <c r="G317" s="43"/>
    </row>
    <row r="318" spans="2:7" x14ac:dyDescent="0.25">
      <c r="B318" s="51" t="s">
        <v>45</v>
      </c>
      <c r="C318" s="51" t="s">
        <v>44</v>
      </c>
      <c r="D318" s="51">
        <v>1304</v>
      </c>
      <c r="E318" s="50">
        <v>0.92853251533742331</v>
      </c>
      <c r="F318" s="50">
        <v>0.5</v>
      </c>
      <c r="G318" s="43"/>
    </row>
    <row r="319" spans="2:7" x14ac:dyDescent="0.25">
      <c r="B319" s="51" t="s">
        <v>45</v>
      </c>
      <c r="C319" s="51" t="s">
        <v>44</v>
      </c>
      <c r="D319" s="51">
        <v>180</v>
      </c>
      <c r="E319" s="50">
        <v>1.05</v>
      </c>
      <c r="F319" s="50">
        <v>0.3</v>
      </c>
      <c r="G319" s="43"/>
    </row>
    <row r="320" spans="2:7" x14ac:dyDescent="0.25">
      <c r="B320" s="49"/>
      <c r="C320" s="48"/>
      <c r="D320" s="48"/>
      <c r="E320" s="48"/>
      <c r="F320" s="48"/>
      <c r="G320" s="43"/>
    </row>
    <row r="321" spans="2:12" x14ac:dyDescent="0.25">
      <c r="B321" s="45" t="s">
        <v>43</v>
      </c>
      <c r="C321" s="9"/>
      <c r="D321" s="9"/>
      <c r="E321" s="9"/>
      <c r="F321" s="9"/>
      <c r="G321" s="43"/>
    </row>
    <row r="322" spans="2:12" x14ac:dyDescent="0.25">
      <c r="B322" s="44"/>
      <c r="C322" s="46"/>
      <c r="D322" s="46"/>
      <c r="E322" s="9"/>
      <c r="F322" s="47"/>
      <c r="G322" s="43"/>
    </row>
    <row r="323" spans="2:12" x14ac:dyDescent="0.25">
      <c r="B323" s="44" t="s">
        <v>42</v>
      </c>
      <c r="C323" s="46"/>
      <c r="D323" s="46"/>
      <c r="E323" s="9"/>
      <c r="F323" s="9"/>
      <c r="G323" s="43"/>
    </row>
    <row r="324" spans="2:12" x14ac:dyDescent="0.25">
      <c r="B324" s="45"/>
      <c r="C324" s="9"/>
      <c r="D324" s="9"/>
      <c r="E324" s="9"/>
      <c r="F324" s="9"/>
      <c r="G324" s="43"/>
    </row>
    <row r="325" spans="2:12" x14ac:dyDescent="0.25">
      <c r="B325" s="44" t="s">
        <v>41</v>
      </c>
      <c r="C325" s="9"/>
      <c r="D325" s="9"/>
      <c r="E325" s="9"/>
      <c r="F325" s="9"/>
      <c r="G325" s="43"/>
    </row>
    <row r="326" spans="2:12" x14ac:dyDescent="0.25">
      <c r="B326" s="42"/>
      <c r="C326" s="41"/>
      <c r="D326" s="41"/>
      <c r="E326" s="41"/>
      <c r="F326" s="41"/>
      <c r="G326" s="40"/>
    </row>
    <row r="328" spans="2:12" x14ac:dyDescent="0.25">
      <c r="B328" s="28" t="s">
        <v>40</v>
      </c>
      <c r="C328" s="28"/>
      <c r="D328" s="28"/>
      <c r="E328" s="28"/>
      <c r="F328" s="28"/>
      <c r="G328" s="28"/>
      <c r="H328" s="28"/>
      <c r="I328" s="28"/>
      <c r="J328" s="28"/>
      <c r="K328" s="9"/>
      <c r="L328" s="9"/>
    </row>
    <row r="329" spans="2:12" ht="14.25" customHeight="1" x14ac:dyDescent="0.25">
      <c r="B329" s="37" t="s">
        <v>39</v>
      </c>
      <c r="C329" s="39" t="s">
        <v>38</v>
      </c>
      <c r="D329" s="39"/>
      <c r="E329" s="14" t="s">
        <v>37</v>
      </c>
      <c r="F329" s="14" t="s">
        <v>36</v>
      </c>
      <c r="G329" s="39" t="s">
        <v>35</v>
      </c>
      <c r="H329" s="39"/>
      <c r="I329" s="39"/>
      <c r="J329" s="39"/>
      <c r="K329" s="38"/>
    </row>
    <row r="330" spans="2:12" ht="23" x14ac:dyDescent="0.25">
      <c r="B330" s="37"/>
      <c r="C330" s="26" t="s">
        <v>34</v>
      </c>
      <c r="D330" s="26" t="s">
        <v>33</v>
      </c>
      <c r="E330" s="26" t="s">
        <v>32</v>
      </c>
      <c r="F330" s="26" t="s">
        <v>31</v>
      </c>
      <c r="G330" s="26" t="s">
        <v>34</v>
      </c>
      <c r="H330" s="26" t="s">
        <v>33</v>
      </c>
      <c r="I330" s="26" t="s">
        <v>32</v>
      </c>
      <c r="J330" s="26" t="s">
        <v>31</v>
      </c>
    </row>
    <row r="331" spans="2:12" x14ac:dyDescent="0.25">
      <c r="B331" s="17" t="s">
        <v>28</v>
      </c>
      <c r="C331" s="36">
        <v>0.17246549035314951</v>
      </c>
      <c r="D331" s="36">
        <v>0.18070598291711648</v>
      </c>
      <c r="E331" s="36">
        <v>0.14162622681417991</v>
      </c>
      <c r="F331" s="36">
        <v>0.12441840109010327</v>
      </c>
      <c r="G331" s="35">
        <v>82720.100000000006</v>
      </c>
      <c r="H331" s="35">
        <v>90782.7</v>
      </c>
      <c r="I331" s="35">
        <v>58061.248212144026</v>
      </c>
      <c r="J331" s="35">
        <v>47456.444094443243</v>
      </c>
    </row>
    <row r="332" spans="2:12" x14ac:dyDescent="0.25">
      <c r="B332" s="34" t="s">
        <v>27</v>
      </c>
      <c r="C332" s="33">
        <v>-9.393287385825011E-3</v>
      </c>
      <c r="D332" s="33">
        <v>-3.1778295091600128E-3</v>
      </c>
      <c r="E332" s="33">
        <v>5.3127314490319932E-2</v>
      </c>
      <c r="F332" s="33">
        <v>-3.5221009075575571E-3</v>
      </c>
      <c r="G332" s="32">
        <v>9905.5548636790372</v>
      </c>
      <c r="H332" s="32">
        <v>9968.0478557475981</v>
      </c>
      <c r="I332" s="32">
        <v>10534.260649206775</v>
      </c>
      <c r="J332" s="32">
        <v>9964.5863412242234</v>
      </c>
    </row>
    <row r="333" spans="2:12" x14ac:dyDescent="0.25">
      <c r="B333" s="34" t="s">
        <v>26</v>
      </c>
      <c r="C333" s="33">
        <v>0.13188550220938766</v>
      </c>
      <c r="D333" s="33">
        <v>0.13957045119167577</v>
      </c>
      <c r="E333" s="33">
        <v>0.12536852554803013</v>
      </c>
      <c r="F333" s="33">
        <v>8.9939479521775612E-2</v>
      </c>
      <c r="G333" s="32">
        <v>14506.241253651984</v>
      </c>
      <c r="H333" s="32">
        <v>14803.997188661371</v>
      </c>
      <c r="I333" s="32">
        <v>14256.890937733089</v>
      </c>
      <c r="J333" s="32">
        <v>12951.188475747191</v>
      </c>
    </row>
    <row r="334" spans="2:12" x14ac:dyDescent="0.25">
      <c r="B334" s="34" t="s">
        <v>25</v>
      </c>
      <c r="C334" s="33">
        <v>0.11588734029665315</v>
      </c>
      <c r="D334" s="33">
        <v>0.12462349060072686</v>
      </c>
      <c r="E334" s="33">
        <v>0.1111961491740312</v>
      </c>
      <c r="F334" s="33">
        <v>8.3185986051432792E-2</v>
      </c>
      <c r="G334" s="32">
        <v>17307.41548208375</v>
      </c>
      <c r="H334" s="32">
        <v>17995.979867621085</v>
      </c>
      <c r="I334" s="32">
        <v>16946.463966969855</v>
      </c>
      <c r="J334" s="32">
        <v>14914.55293241256</v>
      </c>
    </row>
    <row r="335" spans="2:12" x14ac:dyDescent="0.25">
      <c r="B335" s="34" t="s">
        <v>24</v>
      </c>
      <c r="C335" s="33">
        <v>0.16125082574311689</v>
      </c>
      <c r="D335" s="33">
        <v>0.17017709881061438</v>
      </c>
      <c r="E335" s="33">
        <v>0.13305085678887552</v>
      </c>
      <c r="F335" s="33">
        <v>0.11946840741486087</v>
      </c>
      <c r="G335" s="32">
        <v>44628.893288949075</v>
      </c>
      <c r="H335" s="32">
        <v>48182.566051354996</v>
      </c>
      <c r="I335" s="32">
        <v>34897.257041543206</v>
      </c>
      <c r="J335" s="32">
        <v>30930.502554077011</v>
      </c>
    </row>
    <row r="336" spans="2:12" x14ac:dyDescent="0.25">
      <c r="B336" s="31"/>
      <c r="C336" s="30"/>
      <c r="D336" s="30"/>
      <c r="E336" s="30"/>
      <c r="F336" s="30"/>
      <c r="G336" s="30"/>
      <c r="H336" s="29"/>
      <c r="I336" s="29"/>
      <c r="J336" s="29"/>
      <c r="K336" s="29"/>
      <c r="L336" s="29"/>
    </row>
    <row r="337" spans="2:12" x14ac:dyDescent="0.25">
      <c r="B337" s="28" t="s">
        <v>30</v>
      </c>
      <c r="C337" s="28"/>
      <c r="D337" s="28"/>
      <c r="E337" s="28"/>
      <c r="F337" s="28"/>
      <c r="G337" s="15"/>
      <c r="H337" s="9"/>
      <c r="I337" s="9"/>
      <c r="J337" s="9"/>
      <c r="K337" s="9"/>
      <c r="L337" s="9"/>
    </row>
    <row r="338" spans="2:12" ht="34.5" x14ac:dyDescent="0.25">
      <c r="B338" s="13"/>
      <c r="C338" s="27" t="s">
        <v>28</v>
      </c>
      <c r="D338" s="26" t="s">
        <v>27</v>
      </c>
      <c r="E338" s="26" t="s">
        <v>26</v>
      </c>
      <c r="F338" s="26" t="s">
        <v>25</v>
      </c>
      <c r="G338" s="26" t="s">
        <v>24</v>
      </c>
      <c r="H338" s="9"/>
      <c r="I338" s="9"/>
      <c r="J338" s="9"/>
      <c r="K338" s="9"/>
      <c r="L338" s="9"/>
    </row>
    <row r="339" spans="2:12" x14ac:dyDescent="0.25">
      <c r="B339" s="17" t="s">
        <v>23</v>
      </c>
      <c r="C339" s="12">
        <v>1600000</v>
      </c>
      <c r="D339" s="12">
        <v>120000</v>
      </c>
      <c r="E339" s="12">
        <v>360000</v>
      </c>
      <c r="F339" s="12">
        <v>600000</v>
      </c>
      <c r="G339" s="12">
        <v>1200000</v>
      </c>
      <c r="H339" s="9"/>
      <c r="I339" s="9"/>
      <c r="J339" s="9"/>
      <c r="K339" s="9"/>
      <c r="L339" s="9"/>
    </row>
    <row r="340" spans="2:12" x14ac:dyDescent="0.25">
      <c r="B340" s="17" t="s">
        <v>22</v>
      </c>
      <c r="C340" s="25">
        <v>5206246.6305999998</v>
      </c>
      <c r="D340" s="25">
        <v>118097.1789</v>
      </c>
      <c r="E340" s="25">
        <v>389949.08840000001</v>
      </c>
      <c r="F340" s="25">
        <v>791932.67720000003</v>
      </c>
      <c r="G340" s="25">
        <v>2804520.5122000002</v>
      </c>
      <c r="H340" s="9"/>
      <c r="I340" s="9"/>
      <c r="J340" s="9"/>
      <c r="K340" s="9"/>
      <c r="L340" s="9"/>
    </row>
    <row r="341" spans="2:12" x14ac:dyDescent="0.25">
      <c r="B341" s="17" t="s">
        <v>21</v>
      </c>
      <c r="C341" s="24">
        <v>16.340599999999998</v>
      </c>
      <c r="D341" s="24">
        <v>-2.9331999999999998</v>
      </c>
      <c r="E341" s="24">
        <v>5.2629999999999999</v>
      </c>
      <c r="F341" s="24">
        <v>11.046200000000001</v>
      </c>
      <c r="G341" s="24">
        <v>16.192900000000002</v>
      </c>
      <c r="H341" s="23"/>
      <c r="I341" s="9"/>
      <c r="J341" s="9"/>
      <c r="K341" s="9"/>
      <c r="L341" s="9"/>
    </row>
    <row r="342" spans="2:12" x14ac:dyDescent="0.25">
      <c r="B342" s="17" t="s">
        <v>20</v>
      </c>
      <c r="C342" s="24">
        <v>13.720499999999999</v>
      </c>
      <c r="D342" s="24">
        <v>5.0445000000000002</v>
      </c>
      <c r="E342" s="24">
        <v>6.6357999999999997</v>
      </c>
      <c r="F342" s="24">
        <v>10.8232</v>
      </c>
      <c r="G342" s="24">
        <v>13.711</v>
      </c>
      <c r="H342" s="23"/>
      <c r="I342" s="9"/>
      <c r="J342" s="9"/>
      <c r="K342" s="9"/>
      <c r="L342" s="9"/>
    </row>
    <row r="343" spans="2:12" x14ac:dyDescent="0.25">
      <c r="B343" s="17" t="s">
        <v>19</v>
      </c>
      <c r="C343" s="24">
        <v>11.8391</v>
      </c>
      <c r="D343" s="24">
        <v>-3.0125000000000002</v>
      </c>
      <c r="E343" s="24">
        <v>3.1272000000000002</v>
      </c>
      <c r="F343" s="24">
        <v>7.3483000000000001</v>
      </c>
      <c r="G343" s="24">
        <v>11.5648</v>
      </c>
      <c r="H343" s="23"/>
      <c r="I343" s="9"/>
      <c r="J343" s="9"/>
      <c r="K343" s="9"/>
      <c r="L343" s="9"/>
    </row>
    <row r="344" spans="2:12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</row>
    <row r="345" spans="2:12" x14ac:dyDescent="0.25">
      <c r="B345" s="28" t="s">
        <v>29</v>
      </c>
      <c r="C345" s="28"/>
      <c r="D345" s="28"/>
      <c r="E345" s="28"/>
      <c r="F345" s="28"/>
      <c r="G345" s="15"/>
      <c r="H345" s="9"/>
      <c r="I345" s="9"/>
      <c r="J345" s="9"/>
      <c r="K345" s="9"/>
      <c r="L345" s="9"/>
    </row>
    <row r="346" spans="2:12" ht="34.5" x14ac:dyDescent="0.25">
      <c r="B346" s="13"/>
      <c r="C346" s="27" t="s">
        <v>28</v>
      </c>
      <c r="D346" s="26" t="s">
        <v>27</v>
      </c>
      <c r="E346" s="26" t="s">
        <v>26</v>
      </c>
      <c r="F346" s="26" t="s">
        <v>25</v>
      </c>
      <c r="G346" s="26" t="s">
        <v>24</v>
      </c>
      <c r="H346" s="9"/>
      <c r="I346" s="9"/>
      <c r="J346" s="9"/>
      <c r="K346" s="9"/>
      <c r="L346" s="9"/>
    </row>
    <row r="347" spans="2:12" x14ac:dyDescent="0.25">
      <c r="B347" s="17" t="s">
        <v>23</v>
      </c>
      <c r="C347" s="12">
        <v>1600000</v>
      </c>
      <c r="D347" s="12">
        <v>120000</v>
      </c>
      <c r="E347" s="12">
        <v>360000</v>
      </c>
      <c r="F347" s="12">
        <v>600000</v>
      </c>
      <c r="G347" s="12">
        <v>1200000</v>
      </c>
      <c r="H347" s="9"/>
      <c r="I347" s="9"/>
      <c r="J347" s="9"/>
      <c r="K347" s="9"/>
      <c r="L347" s="9"/>
    </row>
    <row r="348" spans="2:12" x14ac:dyDescent="0.25">
      <c r="B348" s="17" t="s">
        <v>22</v>
      </c>
      <c r="C348" s="25">
        <v>5569656.4464999996</v>
      </c>
      <c r="D348" s="25">
        <v>118486.5515</v>
      </c>
      <c r="E348" s="25">
        <v>394124.98920000001</v>
      </c>
      <c r="F348" s="25">
        <v>808225.87800000003</v>
      </c>
      <c r="G348" s="25">
        <v>2950969.0148</v>
      </c>
      <c r="H348" s="9"/>
      <c r="I348" s="9"/>
      <c r="J348" s="9"/>
      <c r="K348" s="9"/>
      <c r="L348" s="9"/>
    </row>
    <row r="349" spans="2:12" x14ac:dyDescent="0.25">
      <c r="B349" s="17" t="s">
        <v>21</v>
      </c>
      <c r="C349" s="24">
        <v>17.23</v>
      </c>
      <c r="D349" s="24">
        <v>-2.3351999999999999</v>
      </c>
      <c r="E349" s="24">
        <v>5.9752000000000001</v>
      </c>
      <c r="F349" s="24">
        <v>11.867100000000001</v>
      </c>
      <c r="G349" s="24">
        <v>17.1386</v>
      </c>
      <c r="H349" s="23"/>
      <c r="I349" s="23"/>
      <c r="J349" s="23"/>
      <c r="K349" s="23"/>
      <c r="L349" s="23"/>
    </row>
    <row r="350" spans="2:12" x14ac:dyDescent="0.25">
      <c r="B350" s="17" t="s">
        <v>20</v>
      </c>
      <c r="C350" s="24">
        <v>13.720499999999999</v>
      </c>
      <c r="D350" s="24">
        <v>5.0445000000000002</v>
      </c>
      <c r="E350" s="24">
        <v>6.6357999999999997</v>
      </c>
      <c r="F350" s="24">
        <v>10.8232</v>
      </c>
      <c r="G350" s="24">
        <v>13.711</v>
      </c>
      <c r="H350" s="23"/>
      <c r="I350" s="23"/>
      <c r="J350" s="23"/>
      <c r="K350" s="23"/>
      <c r="L350" s="23"/>
    </row>
    <row r="351" spans="2:12" x14ac:dyDescent="0.25">
      <c r="B351" s="17" t="s">
        <v>19</v>
      </c>
      <c r="C351" s="24">
        <v>11.8391</v>
      </c>
      <c r="D351" s="24">
        <v>-3.0125000000000002</v>
      </c>
      <c r="E351" s="24">
        <v>3.1272000000000002</v>
      </c>
      <c r="F351" s="24">
        <v>7.3483000000000001</v>
      </c>
      <c r="G351" s="24">
        <v>11.5648</v>
      </c>
      <c r="H351" s="23"/>
      <c r="I351" s="23"/>
      <c r="J351" s="23"/>
      <c r="K351" s="23"/>
      <c r="L351" s="23"/>
    </row>
    <row r="352" spans="2:12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</row>
    <row r="353" spans="2:12" x14ac:dyDescent="0.25">
      <c r="B353" s="13" t="s">
        <v>18</v>
      </c>
      <c r="C353" s="13"/>
      <c r="D353" s="9"/>
      <c r="E353" s="9"/>
      <c r="F353" s="9"/>
      <c r="G353" s="9"/>
      <c r="H353" s="9"/>
      <c r="I353" s="9"/>
      <c r="J353" s="9"/>
      <c r="K353" s="9"/>
      <c r="L353" s="9"/>
    </row>
    <row r="354" spans="2:12" x14ac:dyDescent="0.25">
      <c r="B354" s="12" t="s">
        <v>17</v>
      </c>
      <c r="C354" s="22">
        <v>9.9329358451941407E-2</v>
      </c>
      <c r="D354" s="9"/>
      <c r="E354" s="10"/>
      <c r="F354" s="9"/>
      <c r="G354" s="9"/>
      <c r="H354" s="9"/>
      <c r="I354" s="9"/>
      <c r="J354" s="9"/>
      <c r="K354" s="9"/>
      <c r="L354" s="9"/>
    </row>
    <row r="355" spans="2:12" x14ac:dyDescent="0.25">
      <c r="B355" s="12" t="s">
        <v>16</v>
      </c>
      <c r="C355" s="22">
        <v>0.15266450268625301</v>
      </c>
      <c r="D355" s="9"/>
      <c r="E355" s="10"/>
      <c r="F355" s="9"/>
      <c r="G355" s="9"/>
      <c r="H355" s="9"/>
      <c r="I355" s="9"/>
      <c r="J355" s="9"/>
      <c r="K355" s="9"/>
      <c r="L355" s="9"/>
    </row>
    <row r="356" spans="2:12" x14ac:dyDescent="0.25">
      <c r="B356" s="12" t="s">
        <v>15</v>
      </c>
      <c r="C356" s="20">
        <v>0.80312148547519802</v>
      </c>
      <c r="D356" s="9"/>
      <c r="E356" s="18"/>
      <c r="F356" s="9"/>
      <c r="G356" s="9"/>
      <c r="H356" s="9"/>
      <c r="I356" s="9"/>
      <c r="J356" s="9"/>
      <c r="K356" s="9"/>
      <c r="L356" s="9"/>
    </row>
    <row r="357" spans="2:12" x14ac:dyDescent="0.25">
      <c r="B357" s="12" t="s">
        <v>14</v>
      </c>
      <c r="C357" s="20">
        <v>0.60028019972586677</v>
      </c>
      <c r="D357" s="9"/>
      <c r="E357" s="18"/>
      <c r="F357" s="9"/>
      <c r="G357" s="9"/>
      <c r="H357" s="9"/>
      <c r="I357" s="9"/>
      <c r="J357" s="9"/>
      <c r="K357" s="9"/>
      <c r="L357" s="9"/>
    </row>
    <row r="358" spans="2:12" x14ac:dyDescent="0.25">
      <c r="B358" s="21" t="s">
        <v>13</v>
      </c>
      <c r="C358" s="20">
        <v>-1.0700483782512055E-2</v>
      </c>
      <c r="D358" s="9"/>
      <c r="E358" s="18"/>
      <c r="F358" s="9"/>
      <c r="G358" s="9"/>
      <c r="H358" s="9"/>
      <c r="I358" s="9"/>
      <c r="J358" s="9"/>
      <c r="K358" s="9"/>
      <c r="L358" s="9"/>
    </row>
    <row r="359" spans="2:12" x14ac:dyDescent="0.25">
      <c r="B359" s="12" t="s">
        <v>12</v>
      </c>
      <c r="C359" s="20">
        <v>0.13289384182195618</v>
      </c>
      <c r="D359" s="9"/>
      <c r="E359" s="18"/>
      <c r="F359" s="9"/>
      <c r="G359" s="9"/>
      <c r="H359" s="9"/>
      <c r="I359" s="9"/>
      <c r="J359" s="9"/>
      <c r="K359" s="9"/>
      <c r="L359" s="9"/>
    </row>
    <row r="360" spans="2:12" x14ac:dyDescent="0.25">
      <c r="B360" s="12" t="s">
        <v>11</v>
      </c>
      <c r="C360" s="19">
        <v>-3.4134446146900976E-2</v>
      </c>
      <c r="D360" s="9"/>
      <c r="E360" s="18"/>
      <c r="F360" s="9"/>
      <c r="G360" s="9"/>
      <c r="H360" s="9"/>
      <c r="I360" s="9"/>
      <c r="J360" s="9"/>
      <c r="K360" s="9"/>
      <c r="L360" s="9"/>
    </row>
    <row r="361" spans="2:12" x14ac:dyDescent="0.25">
      <c r="B361" s="17" t="s">
        <v>10</v>
      </c>
      <c r="C361" s="16">
        <v>4.9653000000000003E-2</v>
      </c>
      <c r="D361" s="9"/>
      <c r="E361" s="10"/>
      <c r="F361" s="9"/>
      <c r="G361" s="9"/>
      <c r="H361" s="9"/>
      <c r="I361" s="9"/>
      <c r="J361" s="9"/>
      <c r="K361" s="9"/>
      <c r="L361" s="9"/>
    </row>
    <row r="362" spans="2:12" x14ac:dyDescent="0.25">
      <c r="B362" s="17" t="s">
        <v>9</v>
      </c>
      <c r="C362" s="16">
        <v>6.516976661357532E-3</v>
      </c>
      <c r="D362" s="9"/>
      <c r="E362" s="10"/>
      <c r="F362" s="9"/>
      <c r="G362" s="9"/>
      <c r="H362" s="9"/>
      <c r="I362" s="9"/>
      <c r="J362" s="9"/>
      <c r="K362" s="9"/>
      <c r="L362" s="9"/>
    </row>
    <row r="363" spans="2:12" x14ac:dyDescent="0.25">
      <c r="B363" s="15"/>
      <c r="C363" s="10"/>
      <c r="D363" s="9"/>
      <c r="E363" s="10"/>
      <c r="F363" s="9"/>
      <c r="G363" s="9"/>
      <c r="H363" s="9"/>
      <c r="I363" s="9"/>
      <c r="J363" s="9"/>
      <c r="K363" s="9"/>
      <c r="L363" s="9"/>
    </row>
    <row r="364" spans="2:12" x14ac:dyDescent="0.25">
      <c r="B364" s="14" t="s">
        <v>8</v>
      </c>
      <c r="C364" s="13"/>
      <c r="D364" s="9"/>
      <c r="E364" s="10"/>
      <c r="F364" s="9"/>
      <c r="G364" s="9"/>
      <c r="H364" s="9"/>
      <c r="I364" s="9"/>
      <c r="J364" s="9"/>
      <c r="K364" s="9"/>
      <c r="L364" s="9"/>
    </row>
    <row r="365" spans="2:12" x14ac:dyDescent="0.25">
      <c r="B365" s="12" t="s">
        <v>7</v>
      </c>
      <c r="C365" s="11">
        <v>0.1185866052292065</v>
      </c>
      <c r="D365" s="9"/>
      <c r="E365" s="10"/>
      <c r="F365" s="9"/>
      <c r="G365" s="9"/>
      <c r="H365" s="9"/>
      <c r="I365" s="9"/>
      <c r="J365" s="9"/>
      <c r="K365" s="9"/>
      <c r="L365" s="9"/>
    </row>
    <row r="367" spans="2:12" x14ac:dyDescent="0.25">
      <c r="B367" s="7" t="s">
        <v>6</v>
      </c>
      <c r="C367" s="8"/>
      <c r="D367" s="7"/>
    </row>
    <row r="368" spans="2:12" x14ac:dyDescent="0.25">
      <c r="B368" s="7" t="s">
        <v>5</v>
      </c>
      <c r="C368" s="8"/>
      <c r="D368" s="7"/>
    </row>
    <row r="369" spans="2:4" x14ac:dyDescent="0.25">
      <c r="B369" s="2" t="s">
        <v>4</v>
      </c>
      <c r="C369" s="2"/>
      <c r="D369" s="2"/>
    </row>
    <row r="370" spans="2:4" x14ac:dyDescent="0.25">
      <c r="B370" s="2" t="s">
        <v>3</v>
      </c>
      <c r="C370" s="2"/>
      <c r="D370" s="2"/>
    </row>
    <row r="371" spans="2:4" x14ac:dyDescent="0.25">
      <c r="B371" s="2"/>
      <c r="C371" s="2"/>
      <c r="D371" s="2"/>
    </row>
    <row r="372" spans="2:4" x14ac:dyDescent="0.25">
      <c r="B372" s="6" t="s">
        <v>2</v>
      </c>
      <c r="C372" s="5" t="s">
        <v>1</v>
      </c>
      <c r="D372" s="5"/>
    </row>
    <row r="373" spans="2:4" x14ac:dyDescent="0.25">
      <c r="B373" s="3"/>
      <c r="C373" s="4" t="s">
        <v>0</v>
      </c>
      <c r="D373" s="4"/>
    </row>
    <row r="374" spans="2:4" x14ac:dyDescent="0.25">
      <c r="B374" s="3"/>
      <c r="C374" s="2"/>
      <c r="D374" s="2"/>
    </row>
    <row r="375" spans="2:4" x14ac:dyDescent="0.25">
      <c r="B375" s="3"/>
      <c r="C375" s="2"/>
      <c r="D375" s="2"/>
    </row>
    <row r="376" spans="2:4" x14ac:dyDescent="0.25">
      <c r="B376" s="3"/>
      <c r="C376" s="2"/>
      <c r="D376" s="2"/>
    </row>
    <row r="377" spans="2:4" x14ac:dyDescent="0.25">
      <c r="B377" s="3"/>
      <c r="C377" s="2"/>
      <c r="D377" s="2"/>
    </row>
    <row r="378" spans="2:4" x14ac:dyDescent="0.25">
      <c r="B378" s="3"/>
      <c r="C378" s="2"/>
      <c r="D378" s="2"/>
    </row>
    <row r="379" spans="2:4" x14ac:dyDescent="0.25">
      <c r="B379" s="3"/>
      <c r="C379" s="2"/>
      <c r="D379" s="2"/>
    </row>
    <row r="380" spans="2:4" x14ac:dyDescent="0.25">
      <c r="B380" s="3"/>
      <c r="C380" s="2"/>
      <c r="D380" s="2"/>
    </row>
    <row r="381" spans="2:4" x14ac:dyDescent="0.25">
      <c r="B381" s="3"/>
      <c r="C381" s="2"/>
      <c r="D381" s="2"/>
    </row>
    <row r="382" spans="2:4" x14ac:dyDescent="0.25">
      <c r="B382" s="3"/>
      <c r="C382" s="2"/>
      <c r="D382" s="2"/>
    </row>
  </sheetData>
  <mergeCells count="12">
    <mergeCell ref="B337:F337"/>
    <mergeCell ref="B345:F345"/>
    <mergeCell ref="C372:D372"/>
    <mergeCell ref="C373:D373"/>
    <mergeCell ref="G329:J329"/>
    <mergeCell ref="B328:J328"/>
    <mergeCell ref="B329:B330"/>
    <mergeCell ref="C329:D329"/>
    <mergeCell ref="B211:B212"/>
    <mergeCell ref="C211:C212"/>
    <mergeCell ref="B275:G275"/>
    <mergeCell ref="G248:G274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PPFCF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Jiwnani(UST,IN)</dc:creator>
  <cp:lastModifiedBy>Manas Jiwnani(UST,IN)</cp:lastModifiedBy>
  <dcterms:created xsi:type="dcterms:W3CDTF">2026-09-16T11:26:10Z</dcterms:created>
  <dcterms:modified xsi:type="dcterms:W3CDTF">2026-09-16T11:27:15Z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2026-09-16T11:26:24Z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a533e5fb-26c6-4174-bcbd-aa1310f698fb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